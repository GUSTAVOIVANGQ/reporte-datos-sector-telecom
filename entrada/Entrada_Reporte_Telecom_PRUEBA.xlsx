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296dceaf3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0ea42e17e4534e04"/>
    <x:sheet xmlns:r="http://schemas.openxmlformats.org/officeDocument/2006/relationships" name="Parametros" sheetId="2" r:id="Rdd5c647d9f9340ac"/>
    <x:sheet xmlns:r="http://schemas.openxmlformats.org/officeDocument/2006/relationships" name="Monitoreo" sheetId="3" r:id="R637877064a004f80"/>
    <x:sheet xmlns:r="http://schemas.openxmlformats.org/officeDocument/2006/relationships" name="Tabla_1" sheetId="4" r:id="R7c12a351849344d3"/>
    <x:sheet xmlns:r="http://schemas.openxmlformats.org/officeDocument/2006/relationships" name="Tabla_2" sheetId="5" r:id="Rc4eb7a7c3ad94cc6"/>
    <x:sheet xmlns:r="http://schemas.openxmlformats.org/officeDocument/2006/relationships" name="Tabla_3" sheetId="6" r:id="R3a58c2065ac14ba3"/>
    <x:sheet xmlns:r="http://schemas.openxmlformats.org/officeDocument/2006/relationships" name="Tabla_4" sheetId="7" r:id="R9b62f8e4a80e4d05"/>
    <x:sheet xmlns:r="http://schemas.openxmlformats.org/officeDocument/2006/relationships" name="Tabla_5" sheetId="8" r:id="R8d693b9561394bd0"/>
    <x:sheet xmlns:r="http://schemas.openxmlformats.org/officeDocument/2006/relationships" name="Tabla_6" sheetId="9" r:id="Re3b0abad2d9f481e"/>
    <x:sheet xmlns:r="http://schemas.openxmlformats.org/officeDocument/2006/relationships" name="Datos_Graficas" sheetId="10" r:id="Rc12f55f437ea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15">
    <x:font>
      <x:sz val="11"/>
      <x:name val="Carlito"/>
    </x:font>
    <x:font>
      <x:b/>
      <x:sz val="16"/>
      <x:color rgb="FFFFFFFF"/>
      <x:name val="Arial"/>
    </x:font>
    <x:font>
      <x:sz val="10"/>
      <x:color rgb="FF18494D"/>
      <x:name val="Arial"/>
    </x:font>
    <x:font>
      <x:b/>
      <x:sz val="10"/>
      <x:color rgb="FFFFFFFF"/>
      <x:name val="Arial"/>
    </x:font>
    <x:font>
      <x:sz val="10"/>
      <x:color rgb="FF243238"/>
      <x:name val="Arial"/>
    </x:font>
    <x:font>
      <x:b/>
      <x:sz val="11"/>
      <x:color rgb="FFFFFFFF"/>
      <x:name val="Arial"/>
    </x:font>
    <x:font>
      <x:b/>
      <x:sz val="10"/>
      <x:color rgb="FF18494D"/>
      <x:name val="Arial"/>
    </x:font>
    <x:font>
      <x:b/>
      <x:sz val="10"/>
      <x:color rgb="FF1B5E20"/>
      <x:name val="Arial"/>
    </x:font>
    <x:font>
      <x:b/>
      <x:sz val="10"/>
      <x:color rgb="FF6B7280"/>
      <x:name val="Arial"/>
    </x:font>
    <x:font>
      <x:sz val="9"/>
      <x:color rgb="FF18494D"/>
      <x:name val="Arial"/>
    </x:font>
    <x:font>
      <x:sz val="9"/>
      <x:color rgb="FF374151"/>
      <x:name val="Arial"/>
    </x:font>
    <x:font>
      <x:b/>
      <x:sz val="9"/>
      <x:color rgb="FFFFFFFF"/>
      <x:name val="Arial"/>
    </x:font>
    <x:font>
      <x:b/>
      <x:sz val="9"/>
      <x:color rgb="FF18494D"/>
      <x:name val="Arial"/>
    </x:font>
    <x:font>
      <x:b/>
      <x:sz val="9"/>
      <x:color rgb="FF374151"/>
      <x:name val="Arial"/>
    </x:font>
    <x:font>
      <x:b/>
      <x:sz val="9"/>
      <x:color rgb="FF1F2937"/>
      <x:name val="Arial"/>
    </x:font>
  </x:fonts>
  <x:fills count="33">
    <x:fill>
      <x:patternFill patternType="none"/>
    </x:fill>
    <x:fill>
      <x:patternFill patternType="gray125"/>
    </x:fill>
    <x:fill>
      <x:patternFill patternType="solid">
        <x:fgColor rgb="FF18494D"/>
      </x:patternFill>
    </x:fill>
    <x:fill>
      <x:patternFill patternType="solid">
        <x:fgColor rgb="FFDDEFF0"/>
      </x:patternFill>
    </x:fill>
    <x:fill>
      <x:patternFill patternType="solid">
        <x:fgColor rgb="FF008F98"/>
      </x:patternFill>
    </x:fill>
    <x:fill>
      <x:patternFill patternType="solid">
        <x:fgColor rgb="FFFFFDF2"/>
      </x:patternFill>
    </x:fill>
    <x:fill>
      <x:patternFill patternType="solid">
        <x:fgColor rgb="FFDFF2E1"/>
      </x:patternFill>
    </x:fill>
    <x:fill>
      <x:patternFill patternType="solid">
        <x:fgColor rgb="FFF3F4F6"/>
      </x:patternFill>
    </x:fill>
    <x:fill>
      <x:patternFill patternType="solid">
        <x:fgColor rgb="FF2E858B"/>
      </x:patternFill>
    </x:fill>
    <x:fill>
      <x:patternFill patternType="solid">
        <x:fgColor rgb="FF704263"/>
      </x:patternFill>
    </x:fill>
    <x:fill>
      <x:patternFill patternType="solid">
        <x:fgColor rgb="FF718096"/>
      </x:patternFill>
    </x:fill>
    <x:fill>
      <x:patternFill patternType="solid">
        <x:fgColor rgb="FF398F9D"/>
      </x:patternFill>
    </x:fill>
    <x:fill>
      <x:patternFill patternType="solid">
        <x:fgColor rgb="FF194B4E"/>
      </x:patternFill>
    </x:fill>
    <x:fill>
      <x:patternFill patternType="solid">
        <x:fgColor rgb="FF81938D"/>
      </x:patternFill>
    </x:fill>
    <x:fill>
      <x:patternFill patternType="solid">
        <x:fgColor rgb="FF246A88"/>
      </x:patternFill>
    </x:fill>
    <x:fill>
      <x:patternFill patternType="solid">
        <x:fgColor rgb="FFF58A3A"/>
      </x:patternFill>
    </x:fill>
    <x:fill>
      <x:patternFill patternType="solid">
        <x:fgColor rgb="FF9DBE53"/>
      </x:patternFill>
    </x:fill>
    <x:fill>
      <x:patternFill patternType="solid">
        <x:fgColor rgb="FF5B45A3"/>
      </x:patternFill>
    </x:fill>
    <x:fill>
      <x:patternFill patternType="solid">
        <x:fgColor rgb="FF90274D"/>
      </x:patternFill>
    </x:fill>
    <x:fill>
      <x:patternFill patternType="solid">
        <x:fgColor rgb="FFA4400B"/>
      </x:patternFill>
    </x:fill>
    <x:fill>
      <x:patternFill patternType="solid">
        <x:fgColor rgb="FF1CA4D0"/>
      </x:patternFill>
    </x:fill>
    <x:fill>
      <x:patternFill patternType="solid">
        <x:fgColor rgb="FF683E5D"/>
      </x:patternFill>
    </x:fill>
    <x:fill>
      <x:patternFill patternType="solid">
        <x:fgColor rgb="FF667489"/>
      </x:patternFill>
    </x:fill>
    <x:fill>
      <x:patternFill patternType="solid">
        <x:fgColor rgb="FF368491"/>
      </x:patternFill>
    </x:fill>
    <x:fill>
      <x:patternFill patternType="solid">
        <x:fgColor rgb="FF1B4044"/>
      </x:patternFill>
    </x:fill>
    <x:fill>
      <x:patternFill patternType="solid">
        <x:fgColor rgb="FF728781"/>
      </x:patternFill>
    </x:fill>
    <x:fill>
      <x:patternFill patternType="solid">
        <x:fgColor rgb="FF1E6284"/>
      </x:patternFill>
    </x:fill>
    <x:fill>
      <x:patternFill patternType="solid">
        <x:fgColor rgb="FFED8945"/>
      </x:patternFill>
    </x:fill>
    <x:fill>
      <x:patternFill patternType="solid">
        <x:fgColor rgb="FF99B554"/>
      </x:patternFill>
    </x:fill>
    <x:fill>
      <x:patternFill patternType="solid">
        <x:fgColor rgb="FF5844A0"/>
      </x:patternFill>
    </x:fill>
    <x:fill>
      <x:patternFill patternType="solid">
        <x:fgColor rgb="FF8E244D"/>
      </x:patternFill>
    </x:fill>
    <x:fill>
      <x:patternFill patternType="solid">
        <x:fgColor rgb="FF994010"/>
      </x:patternFill>
    </x:fill>
    <x:fill>
      <x:patternFill patternType="solid">
        <x:fgColor rgb="FF0F9ED5"/>
      </x:patternFill>
    </x:fill>
  </x:fills>
  <x:borders count="26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E5E7EB"/>
      </x:right>
      <x:top style="thin">
        <x:color rgb="FFFFFFFF"/>
      </x:top>
      <x:bottom style="thin">
        <x:color rgb="FFFFFFFF"/>
      </x:bottom>
    </x:border>
    <x:border>
      <x:bottom style="thin">
        <x:color rgb="FFE5E7EB"/>
      </x:bottom>
    </x:border>
    <x:border>
      <x:right style="thin">
        <x:color rgb="FFDCEBEA"/>
      </x:right>
      <x:bottom style="thin">
        <x:color rgb="FFB7DDDA"/>
      </x:bottom>
    </x:border>
    <x:border>
      <x:left style="thin">
        <x:color rgb="FFDCEBEA"/>
      </x:left>
      <x:right style="thin">
        <x:color rgb="FFDCEBEA"/>
      </x:right>
      <x:bottom style="thin">
        <x:color rgb="FFB7DDDA"/>
      </x:bottom>
    </x:border>
    <x:border>
      <x:left style="thin">
        <x:color rgb="FFDCEBEA"/>
      </x:left>
      <x:bottom style="thin">
        <x:color rgb="FFB7DDDA"/>
      </x:bottom>
    </x:border>
    <x:border>
      <x:right style="thin">
        <x:color rgb="FFDCEBEA"/>
      </x:right>
      <x:top style="thin">
        <x:color rgb="FFB7DDDA"/>
      </x:top>
      <x:bottom style="thin">
        <x:color rgb="FFB7DDDA"/>
      </x:bottom>
    </x:border>
    <x:border>
      <x:left style="thin">
        <x:color rgb="FFDCEBEA"/>
      </x:left>
      <x:right style="thin">
        <x:color rgb="FFDCEBEA"/>
      </x:right>
      <x:top style="thin">
        <x:color rgb="FFB7DDDA"/>
      </x:top>
      <x:bottom style="thin">
        <x:color rgb="FFB7DDDA"/>
      </x:bottom>
    </x:border>
    <x:border>
      <x:left style="thin">
        <x:color rgb="FFDCEBEA"/>
      </x:left>
      <x:top style="thin">
        <x:color rgb="FFB7DDDA"/>
      </x:top>
      <x:bottom style="thin">
        <x:color rgb="FFB7DDDA"/>
      </x:bottom>
    </x:border>
    <x:border>
      <x:left style="thin">
        <x:color rgb="FF2E858B"/>
      </x:left>
      <x:right style="thin">
        <x:color rgb="FFDCEBEA"/>
      </x:right>
      <x:top style="thin">
        <x:color rgb="FF2E858B"/>
      </x:top>
      <x:bottom style="thin">
        <x:color rgb="FF2E858B"/>
      </x:bottom>
    </x:border>
    <x:border>
      <x:left style="thin">
        <x:color rgb="FFDCEBEA"/>
      </x:left>
      <x:right style="thin">
        <x:color rgb="FFDCEBEA"/>
      </x:right>
      <x:top style="thin">
        <x:color rgb="FF2E858B"/>
      </x:top>
      <x:bottom style="thin">
        <x:color rgb="FF2E858B"/>
      </x:bottom>
    </x:border>
    <x:border>
      <x:left style="thin">
        <x:color rgb="FFDCEBEA"/>
      </x:left>
      <x:right style="thin">
        <x:color rgb="FF2E858B"/>
      </x:right>
      <x:top style="thin">
        <x:color rgb="FF2E858B"/>
      </x:top>
      <x:bottom style="thin">
        <x:color rgb="FF2E858B"/>
      </x:bottom>
    </x:border>
  </x:borders>
  <x:cellStyleXfs count="1">
    <x:xf numFmtId="0" fontId="0" fillId="0" borderId="0"/>
  </x:cellStyleXfs>
  <x:cellXfs count="2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left" vertical="center"/>
    </x:xf>
    <x:xf numFmtId="0" fontId="1" fillId="2" borderId="11" xfId="0" applyNumberFormat="1" applyFont="1" applyFill="1" applyBorder="1" applyAlignment="1">
      <x:alignment horizontal="left" vertical="center"/>
    </x:xf>
    <x:xf numFmtId="0" fontId="1" fillId="2" borderId="8" xfId="0" applyNumberFormat="1" applyFont="1" applyFill="1" applyBorder="1" applyAlignment="1">
      <x:alignment horizontal="left" vertical="center"/>
    </x:xf>
    <x:xf numFmtId="0" fontId="0" fillId="0" borderId="12" xfId="0" applyNumberFormat="1" applyFont="1" applyFill="1" applyBorder="1"/>
    <x:xf numFmtId="0" fontId="0" fillId="0" borderId="0" xfId="0" applyNumberFormat="1" applyFont="1" applyFill="1" applyBorder="1"/>
    <x:xf numFmtId="0" fontId="0" fillId="0" borderId="13" xfId="0" applyNumberFormat="1" applyFont="1" applyFill="1" applyBorder="1"/>
    <x:xf numFmtId="0" fontId="2" fillId="3" borderId="12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5" fillId="2" borderId="12" xfId="0" applyNumberFormat="1" applyFont="1" applyFill="1" applyBorder="1"/>
    <x:xf numFmtId="0" fontId="5" fillId="2" borderId="13" xfId="0" applyNumberFormat="1" applyFont="1" applyFill="1" applyBorder="1"/>
    <x:xf numFmtId="0" fontId="4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6" xfId="0" applyNumberFormat="1" applyFont="1" applyFill="1" applyBorder="1" applyAlignment="1">
      <x:alignment horizontal="center" vertical="center" wrapText="1"/>
    </x:xf>
    <x:xf numFmtId="0" fontId="7" fillId="6" borderId="9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8" fillId="7" borderId="3" xfId="0" applyNumberFormat="1" applyFont="1" applyFill="1" applyBorder="1" applyAlignment="1">
      <x:alignment vertical="center" wrapText="1"/>
    </x:xf>
    <x:xf numFmtId="0" fontId="8" fillId="7" borderId="6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8" fillId="7" borderId="3" xfId="0" applyNumberFormat="1" applyFont="1" applyFill="1" applyBorder="1" applyAlignment="1">
      <x:alignment horizontal="center" vertical="center" wrapText="1"/>
    </x:xf>
    <x:xf numFmtId="0" fontId="8" fillId="7" borderId="6" xfId="0" applyNumberFormat="1" applyFont="1" applyFill="1" applyBorder="1" applyAlignment="1">
      <x:alignment horizontal="center" vertical="center" wrapText="1"/>
    </x:xf>
    <x:xf numFmtId="0" fontId="8" fillId="7" borderId="9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7" xfId="0" applyNumberFormat="1" applyFont="1" applyFill="1" applyBorder="1"/>
    <x:xf numFmtId="0" fontId="10" fillId="0" borderId="18" xfId="0" applyNumberFormat="1" applyFont="1" applyFill="1" applyBorder="1"/>
    <x:xf numFmtId="0" fontId="10" fillId="0" borderId="19" xfId="0" applyNumberFormat="1" applyFont="1" applyFill="1" applyBorder="1"/>
    <x:xf numFmtId="0" fontId="10" fillId="0" borderId="20" xfId="0" applyNumberFormat="1" applyFont="1" applyFill="1" applyBorder="1"/>
    <x:xf numFmtId="0" fontId="10" fillId="0" borderId="21" xfId="0" applyNumberFormat="1" applyFont="1" applyFill="1" applyBorder="1"/>
    <x:xf numFmtId="0" fontId="10" fillId="0" borderId="22" xfId="0" applyNumberFormat="1" applyFont="1" applyFill="1" applyBorder="1"/>
    <x:xf numFmtId="0" fontId="10" fillId="0" borderId="17" xfId="0" applyNumberFormat="1" applyFont="1" applyFill="1" applyBorder="1" applyAlignment="1">
      <x:alignment wrapText="1"/>
    </x:xf>
    <x:xf numFmtId="0" fontId="10" fillId="0" borderId="18" xfId="0" applyNumberFormat="1" applyFont="1" applyFill="1" applyBorder="1" applyAlignment="1">
      <x:alignment wrapText="1"/>
    </x:xf>
    <x:xf numFmtId="0" fontId="10" fillId="0" borderId="19" xfId="0" applyNumberFormat="1" applyFont="1" applyFill="1" applyBorder="1" applyAlignment="1">
      <x:alignment wrapText="1"/>
    </x:xf>
    <x:xf numFmtId="0" fontId="10" fillId="0" borderId="20" xfId="0" applyNumberFormat="1" applyFont="1" applyFill="1" applyBorder="1" applyAlignment="1">
      <x:alignment wrapText="1"/>
    </x:xf>
    <x:xf numFmtId="0" fontId="10" fillId="0" borderId="21" xfId="0" applyNumberFormat="1" applyFont="1" applyFill="1" applyBorder="1" applyAlignment="1">
      <x:alignment wrapText="1"/>
    </x:xf>
    <x:xf numFmtId="0" fontId="10" fillId="0" borderId="22" xfId="0" applyNumberFormat="1" applyFont="1" applyFill="1" applyBorder="1" applyAlignment="1">
      <x:alignment wrapText="1"/>
    </x:xf>
    <x:xf numFmtId="0" fontId="10" fillId="0" borderId="17" xfId="0" applyNumberFormat="1" applyFont="1" applyFill="1" applyBorder="1" applyAlignment="1">
      <x:alignment vertical="center" wrapText="1"/>
    </x:xf>
    <x:xf numFmtId="0" fontId="10" fillId="0" borderId="18" xfId="0" applyNumberFormat="1" applyFont="1" applyFill="1" applyBorder="1" applyAlignment="1">
      <x:alignment vertical="center" wrapText="1"/>
    </x:xf>
    <x:xf numFmtId="0" fontId="10" fillId="0" borderId="19" xfId="0" applyNumberFormat="1" applyFont="1" applyFill="1" applyBorder="1" applyAlignment="1">
      <x:alignment vertical="center" wrapText="1"/>
    </x:xf>
    <x:xf numFmtId="0" fontId="10" fillId="0" borderId="20" xfId="0" applyNumberFormat="1" applyFont="1" applyFill="1" applyBorder="1" applyAlignment="1">
      <x:alignment vertical="center" wrapText="1"/>
    </x:xf>
    <x:xf numFmtId="0" fontId="10" fillId="0" borderId="21" xfId="0" applyNumberFormat="1" applyFont="1" applyFill="1" applyBorder="1" applyAlignment="1">
      <x:alignment vertical="center" wrapText="1"/>
    </x:xf>
    <x:xf numFmtId="0" fontId="10" fillId="0" borderId="22" xfId="0" applyNumberFormat="1" applyFont="1" applyFill="1" applyBorder="1" applyAlignment="1">
      <x:alignment vertical="center" wrapText="1"/>
    </x:xf>
    <x:xf numFmtId="200" fontId="10" fillId="0" borderId="19" xfId="0" applyNumberFormat="1" applyFont="1" applyFill="1" applyBorder="1" applyAlignment="1">
      <x:alignment vertical="center" wrapText="1"/>
    </x:xf>
    <x:xf numFmtId="200" fontId="10" fillId="0" borderId="22" xfId="0" applyNumberFormat="1" applyFont="1" applyFill="1" applyBorder="1" applyAlignment="1">
      <x:alignment vertical="center" wrapText="1"/>
    </x:xf>
    <x:xf numFmtId="200" fontId="10" fillId="0" borderId="19" xfId="0" applyNumberFormat="1" applyFont="1" applyFill="1" applyBorder="1" applyAlignment="1">
      <x:alignment horizontal="right" vertical="center" wrapText="1"/>
    </x:xf>
    <x:xf numFmtId="200" fontId="10" fillId="0" borderId="22" xfId="0" applyNumberFormat="1" applyFont="1" applyFill="1" applyBorder="1" applyAlignment="1">
      <x:alignment horizontal="right" vertical="center" wrapText="1"/>
    </x:xf>
    <x:xf numFmtId="0" fontId="10" fillId="8" borderId="20" xfId="0" applyNumberFormat="1" applyFont="1" applyFill="1" applyBorder="1" applyAlignment="1">
      <x:alignment vertical="center" wrapText="1"/>
    </x:xf>
    <x:xf numFmtId="0" fontId="10" fillId="8" borderId="21" xfId="0" applyNumberFormat="1" applyFont="1" applyFill="1" applyBorder="1" applyAlignment="1">
      <x:alignment vertical="center" wrapText="1"/>
    </x:xf>
    <x:xf numFmtId="200" fontId="10" fillId="8" borderId="22" xfId="0" applyNumberFormat="1" applyFont="1" applyFill="1" applyBorder="1" applyAlignment="1">
      <x:alignment horizontal="right" vertical="center" wrapText="1"/>
    </x:xf>
    <x:xf numFmtId="0" fontId="11" fillId="8" borderId="20" xfId="0" applyNumberFormat="1" applyFont="1" applyFill="1" applyBorder="1" applyAlignment="1">
      <x:alignment vertical="center" wrapText="1"/>
    </x:xf>
    <x:xf numFmtId="0" fontId="11" fillId="8" borderId="21" xfId="0" applyNumberFormat="1" applyFont="1" applyFill="1" applyBorder="1" applyAlignment="1">
      <x:alignment vertical="center" wrapText="1"/>
    </x:xf>
    <x:xf numFmtId="200" fontId="11" fillId="8" borderId="22" xfId="0" applyNumberFormat="1" applyFont="1" applyFill="1" applyBorder="1" applyAlignment="1">
      <x:alignment horizontal="right" vertical="center" wrapText="1"/>
    </x:xf>
    <x:xf numFmtId="0" fontId="11" fillId="8" borderId="23" xfId="0" applyNumberFormat="1" applyFont="1" applyFill="1" applyBorder="1" applyAlignment="1">
      <x:alignment vertical="center" wrapText="1"/>
    </x:xf>
    <x:xf numFmtId="0" fontId="11" fillId="8" borderId="24" xfId="0" applyNumberFormat="1" applyFont="1" applyFill="1" applyBorder="1" applyAlignment="1">
      <x:alignment vertical="center" wrapText="1"/>
    </x:xf>
    <x:xf numFmtId="200" fontId="11" fillId="8" borderId="25" xfId="0" applyNumberFormat="1" applyFont="1" applyFill="1" applyBorder="1" applyAlignment="1">
      <x:alignment horizontal="right" vertical="center" wrapText="1"/>
    </x:xf>
    <x:xf numFmtId="0" fontId="12" fillId="0" borderId="20" xfId="0" applyNumberFormat="1" applyFont="1" applyFill="1" applyBorder="1" applyAlignment="1">
      <x:alignment vertical="center" wrapText="1"/>
    </x:xf>
    <x:xf numFmtId="0" fontId="12" fillId="0" borderId="21" xfId="0" applyNumberFormat="1" applyFont="1" applyFill="1" applyBorder="1" applyAlignment="1">
      <x:alignment vertical="center" wrapText="1"/>
    </x:xf>
    <x:xf numFmtId="200" fontId="12" fillId="0" borderId="22" xfId="0" applyNumberFormat="1" applyFont="1" applyFill="1" applyBorder="1" applyAlignment="1">
      <x:alignment horizontal="right" vertical="center" wrapText="1"/>
    </x:xf>
    <x:xf numFmtId="201" fontId="10" fillId="0" borderId="18" xfId="0" applyNumberFormat="1" applyFont="1" applyFill="1" applyBorder="1" applyAlignment="1">
      <x:alignment vertical="center" wrapText="1"/>
    </x:xf>
    <x:xf numFmtId="201" fontId="10" fillId="0" borderId="21" xfId="0" applyNumberFormat="1" applyFont="1" applyFill="1" applyBorder="1" applyAlignment="1">
      <x:alignment vertical="center" wrapText="1"/>
    </x:xf>
    <x:xf numFmtId="201" fontId="10" fillId="0" borderId="18" xfId="0" applyNumberFormat="1" applyFont="1" applyFill="1" applyBorder="1" applyAlignment="1">
      <x:alignment horizontal="right" vertical="center" wrapText="1"/>
    </x:xf>
    <x:xf numFmtId="201" fontId="10" fillId="0" borderId="21" xfId="0" applyNumberFormat="1" applyFont="1" applyFill="1" applyBorder="1" applyAlignment="1">
      <x:alignment horizontal="right" vertical="center" wrapText="1"/>
    </x:xf>
    <x:xf numFmtId="201" fontId="10" fillId="0" borderId="19" xfId="0" applyNumberFormat="1" applyFont="1" applyFill="1" applyBorder="1" applyAlignment="1">
      <x:alignment vertical="center" wrapText="1"/>
    </x:xf>
    <x:xf numFmtId="201" fontId="10" fillId="0" borderId="22" xfId="0" applyNumberFormat="1" applyFont="1" applyFill="1" applyBorder="1" applyAlignment="1">
      <x:alignment vertical="center" wrapText="1"/>
    </x:xf>
    <x:xf numFmtId="201" fontId="10" fillId="0" borderId="19" xfId="0" applyNumberFormat="1" applyFont="1" applyFill="1" applyBorder="1" applyAlignment="1">
      <x:alignment horizontal="right" vertical="center" wrapText="1"/>
    </x:xf>
    <x:xf numFmtId="201" fontId="10" fillId="0" borderId="22" xfId="0" applyNumberFormat="1" applyFont="1" applyFill="1" applyBorder="1" applyAlignment="1">
      <x:alignment horizontal="right" vertical="center" wrapText="1"/>
    </x:xf>
    <x:xf numFmtId="201" fontId="10" fillId="8" borderId="21" xfId="0" applyNumberFormat="1" applyFont="1" applyFill="1" applyBorder="1" applyAlignment="1">
      <x:alignment horizontal="right" vertical="center" wrapText="1"/>
    </x:xf>
    <x:xf numFmtId="201" fontId="10" fillId="8" borderId="22" xfId="0" applyNumberFormat="1" applyFont="1" applyFill="1" applyBorder="1" applyAlignment="1">
      <x:alignment horizontal="right" vertical="center" wrapText="1"/>
    </x:xf>
    <x:xf numFmtId="201" fontId="11" fillId="8" borderId="21" xfId="0" applyNumberFormat="1" applyFont="1" applyFill="1" applyBorder="1" applyAlignment="1">
      <x:alignment horizontal="right" vertical="center" wrapText="1"/>
    </x:xf>
    <x:xf numFmtId="201" fontId="11" fillId="8" borderId="22" xfId="0" applyNumberFormat="1" applyFont="1" applyFill="1" applyBorder="1" applyAlignment="1">
      <x:alignment horizontal="right" vertical="center" wrapText="1"/>
    </x:xf>
    <x:xf numFmtId="201" fontId="11" fillId="8" borderId="24" xfId="0" applyNumberFormat="1" applyFont="1" applyFill="1" applyBorder="1" applyAlignment="1">
      <x:alignment horizontal="right" vertical="center" wrapText="1"/>
    </x:xf>
    <x:xf numFmtId="201" fontId="11" fillId="8" borderId="25" xfId="0" applyNumberFormat="1" applyFont="1" applyFill="1" applyBorder="1" applyAlignment="1">
      <x:alignment horizontal="right" vertical="center" wrapText="1"/>
    </x:xf>
    <x:xf numFmtId="201" fontId="12" fillId="0" borderId="21" xfId="0" applyNumberFormat="1" applyFont="1" applyFill="1" applyBorder="1" applyAlignment="1">
      <x:alignment horizontal="right" vertical="center" wrapText="1"/>
    </x:xf>
    <x:xf numFmtId="201" fontId="12" fillId="0" borderId="22" xfId="0" applyNumberFormat="1" applyFont="1" applyFill="1" applyBorder="1" applyAlignment="1">
      <x:alignment horizontal="right" vertical="center" wrapText="1"/>
    </x:xf>
    <x:xf numFmtId="200" fontId="10" fillId="0" borderId="18" xfId="0" applyNumberFormat="1" applyFont="1" applyFill="1" applyBorder="1" applyAlignment="1">
      <x:alignment vertical="center" wrapText="1"/>
    </x:xf>
    <x:xf numFmtId="200" fontId="10" fillId="0" borderId="21" xfId="0" applyNumberFormat="1" applyFont="1" applyFill="1" applyBorder="1" applyAlignment="1">
      <x:alignment vertical="center" wrapText="1"/>
    </x:xf>
    <x:xf numFmtId="200" fontId="10" fillId="0" borderId="18" xfId="0" applyNumberFormat="1" applyFont="1" applyFill="1" applyBorder="1" applyAlignment="1">
      <x:alignment horizontal="right" vertical="center" wrapText="1"/>
    </x:xf>
    <x:xf numFmtId="200" fontId="10" fillId="0" borderId="21" xfId="0" applyNumberFormat="1" applyFont="1" applyFill="1" applyBorder="1" applyAlignment="1">
      <x:alignment horizontal="right" vertical="center" wrapText="1"/>
    </x:xf>
    <x:xf numFmtId="200" fontId="10" fillId="8" borderId="21" xfId="0" applyNumberFormat="1" applyFont="1" applyFill="1" applyBorder="1" applyAlignment="1">
      <x:alignment horizontal="right" vertical="center" wrapText="1"/>
    </x:xf>
    <x:xf numFmtId="200" fontId="11" fillId="8" borderId="21" xfId="0" applyNumberFormat="1" applyFont="1" applyFill="1" applyBorder="1" applyAlignment="1">
      <x:alignment horizontal="right" vertical="center" wrapText="1"/>
    </x:xf>
    <x:xf numFmtId="200" fontId="11" fillId="8" borderId="24" xfId="0" applyNumberFormat="1" applyFont="1" applyFill="1" applyBorder="1" applyAlignment="1">
      <x:alignment horizontal="right" vertical="center" wrapText="1"/>
    </x:xf>
    <x:xf numFmtId="200" fontId="12" fillId="0" borderId="21" xfId="0" applyNumberFormat="1" applyFont="1" applyFill="1" applyBorder="1" applyAlignment="1">
      <x:alignment horizontal="right" vertical="center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11" fillId="17" borderId="0" xfId="0" applyNumberFormat="1" applyFont="1" applyFill="1" applyBorder="1"/>
    <x:xf numFmtId="0" fontId="11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0" xfId="0" applyNumberFormat="1" applyFont="1" applyFill="1" applyBorder="1" applyAlignment="1">
      <x:alignment horizontal="center"/>
    </x:xf>
    <x:xf numFmtId="0" fontId="0" fillId="19" borderId="0" xfId="0" applyNumberFormat="1" applyFont="1" applyFill="1" applyBorder="1"/>
    <x:xf numFmtId="0" fontId="11" fillId="19" borderId="0" xfId="0" applyNumberFormat="1" applyFont="1" applyFill="1" applyBorder="1"/>
    <x:xf numFmtId="0" fontId="11" fillId="19" borderId="0" xfId="0" applyNumberFormat="1" applyFont="1" applyFill="1" applyBorder="1" applyAlignment="1">
      <x:alignment horizontal="center"/>
    </x:xf>
    <x:xf numFmtId="0" fontId="0" fillId="20" borderId="0" xfId="0" applyNumberFormat="1" applyFont="1" applyFill="1" applyBorder="1"/>
    <x:xf numFmtId="0" fontId="11" fillId="20" borderId="0" xfId="0" applyNumberFormat="1" applyFont="1" applyFill="1" applyBorder="1"/>
    <x:xf numFmtId="0" fontId="11" fillId="20" borderId="0" xfId="0" applyNumberFormat="1" applyFont="1" applyFill="1" applyBorder="1" applyAlignment="1">
      <x:alignment horizontal="center"/>
    </x:xf>
    <x:xf numFmtId="0" fontId="13" fillId="9" borderId="0" xfId="0" applyNumberFormat="1" applyFont="1" applyFill="1" applyBorder="1" applyAlignment="1">
      <x:alignment horizontal="center"/>
    </x:xf>
    <x:xf numFmtId="0" fontId="13" fillId="10" borderId="0" xfId="0" applyNumberFormat="1" applyFont="1" applyFill="1" applyBorder="1" applyAlignment="1">
      <x:alignment horizontal="center"/>
    </x:xf>
    <x:xf numFmtId="0" fontId="13" fillId="11" borderId="0" xfId="0" applyNumberFormat="1" applyFont="1" applyFill="1" applyBorder="1" applyAlignment="1">
      <x:alignment horizontal="center"/>
    </x:xf>
    <x:xf numFmtId="0" fontId="13" fillId="12" borderId="0" xfId="0" applyNumberFormat="1" applyFont="1" applyFill="1" applyBorder="1" applyAlignment="1">
      <x:alignment horizontal="center"/>
    </x:xf>
    <x:xf numFmtId="0" fontId="13" fillId="13" borderId="0" xfId="0" applyNumberFormat="1" applyFont="1" applyFill="1" applyBorder="1" applyAlignment="1">
      <x:alignment horizontal="center"/>
    </x:xf>
    <x:xf numFmtId="0" fontId="13" fillId="14" borderId="0" xfId="0" applyNumberFormat="1" applyFont="1" applyFill="1" applyBorder="1" applyAlignment="1">
      <x:alignment horizontal="center"/>
    </x:xf>
    <x:xf numFmtId="0" fontId="13" fillId="15" borderId="0" xfId="0" applyNumberFormat="1" applyFont="1" applyFill="1" applyBorder="1" applyAlignment="1">
      <x:alignment horizontal="center"/>
    </x:xf>
    <x:xf numFmtId="0" fontId="13" fillId="16" borderId="0" xfId="0" applyNumberFormat="1" applyFont="1" applyFill="1" applyBorder="1" applyAlignment="1">
      <x:alignment horizontal="center"/>
    </x:xf>
    <x:xf numFmtId="0" fontId="13" fillId="17" borderId="0" xfId="0" applyNumberFormat="1" applyFont="1" applyFill="1" applyBorder="1" applyAlignment="1">
      <x:alignment horizontal="center"/>
    </x:xf>
    <x:xf numFmtId="0" fontId="13" fillId="18" borderId="0" xfId="0" applyNumberFormat="1" applyFont="1" applyFill="1" applyBorder="1" applyAlignment="1">
      <x:alignment horizontal="center"/>
    </x:xf>
    <x:xf numFmtId="0" fontId="13" fillId="19" borderId="0" xfId="0" applyNumberFormat="1" applyFont="1" applyFill="1" applyBorder="1" applyAlignment="1">
      <x:alignment horizontal="center"/>
    </x:xf>
    <x:xf numFmtId="0" fontId="13" fillId="20" borderId="0" xfId="0" applyNumberFormat="1" applyFont="1" applyFill="1" applyBorder="1" applyAlignment="1">
      <x:alignment horizontal="center"/>
    </x:xf>
    <x:xf numFmtId="0" fontId="10" fillId="0" borderId="2" xfId="0" applyNumberFormat="1" applyFont="1" applyFill="1" applyBorder="1"/>
    <x:xf numFmtId="0" fontId="10" fillId="0" borderId="3" xfId="0" applyNumberFormat="1" applyFont="1" applyFill="1" applyBorder="1"/>
    <x:xf numFmtId="0" fontId="13" fillId="9" borderId="4" xfId="0" applyNumberFormat="1" applyFont="1" applyFill="1" applyBorder="1" applyAlignment="1">
      <x:alignment horizontal="center"/>
    </x:xf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13" fillId="10" borderId="7" xfId="0" applyNumberFormat="1" applyFont="1" applyFill="1" applyBorder="1" applyAlignment="1">
      <x:alignment horizontal="center"/>
    </x:xf>
    <x:xf numFmtId="0" fontId="13" fillId="11" borderId="7" xfId="0" applyNumberFormat="1" applyFont="1" applyFill="1" applyBorder="1" applyAlignment="1">
      <x:alignment horizontal="center"/>
    </x:xf>
    <x:xf numFmtId="0" fontId="13" fillId="12" borderId="7" xfId="0" applyNumberFormat="1" applyFont="1" applyFill="1" applyBorder="1" applyAlignment="1">
      <x:alignment horizontal="center"/>
    </x:xf>
    <x:xf numFmtId="0" fontId="13" fillId="13" borderId="7" xfId="0" applyNumberFormat="1" applyFont="1" applyFill="1" applyBorder="1" applyAlignment="1">
      <x:alignment horizontal="center"/>
    </x:xf>
    <x:xf numFmtId="0" fontId="13" fillId="9" borderId="7" xfId="0" applyNumberFormat="1" applyFont="1" applyFill="1" applyBorder="1" applyAlignment="1">
      <x:alignment horizontal="center"/>
    </x:xf>
    <x:xf numFmtId="0" fontId="13" fillId="14" borderId="7" xfId="0" applyNumberFormat="1" applyFont="1" applyFill="1" applyBorder="1" applyAlignment="1">
      <x:alignment horizontal="center"/>
    </x:xf>
    <x:xf numFmtId="0" fontId="13" fillId="15" borderId="7" xfId="0" applyNumberFormat="1" applyFont="1" applyFill="1" applyBorder="1" applyAlignment="1">
      <x:alignment horizontal="center"/>
    </x:xf>
    <x:xf numFmtId="0" fontId="13" fillId="16" borderId="7" xfId="0" applyNumberFormat="1" applyFont="1" applyFill="1" applyBorder="1" applyAlignment="1">
      <x:alignment horizontal="center"/>
    </x:xf>
    <x:xf numFmtId="0" fontId="13" fillId="17" borderId="7" xfId="0" applyNumberFormat="1" applyFont="1" applyFill="1" applyBorder="1" applyAlignment="1">
      <x:alignment horizontal="center"/>
    </x:xf>
    <x:xf numFmtId="0" fontId="13" fillId="18" borderId="7" xfId="0" applyNumberFormat="1" applyFont="1" applyFill="1" applyBorder="1" applyAlignment="1">
      <x:alignment horizontal="center"/>
    </x:xf>
    <x:xf numFmtId="0" fontId="13" fillId="19" borderId="7" xfId="0" applyNumberFormat="1" applyFont="1" applyFill="1" applyBorder="1" applyAlignment="1">
      <x:alignment horizontal="center"/>
    </x:xf>
    <x:xf numFmtId="0" fontId="13" fillId="20" borderId="7" xfId="0" applyNumberFormat="1" applyFont="1" applyFill="1" applyBorder="1" applyAlignment="1">
      <x:alignment horizontal="center"/>
    </x:xf>
    <x:xf numFmtId="0" fontId="10" fillId="0" borderId="8" xfId="0" applyNumberFormat="1" applyFont="1" applyFill="1" applyBorder="1"/>
    <x:xf numFmtId="0" fontId="10" fillId="0" borderId="9" xfId="0" applyNumberFormat="1" applyFont="1" applyFill="1" applyBorder="1"/>
    <x:xf numFmtId="0" fontId="13" fillId="13" borderId="10" xfId="0" applyNumberFormat="1" applyFont="1" applyFill="1" applyBorder="1" applyAlignment="1">
      <x:alignment horizontal="center"/>
    </x:xf>
    <x:xf numFmtId="0" fontId="10" fillId="0" borderId="2" xfId="0" applyNumberFormat="1" applyFont="1" applyFill="1" applyBorder="1" applyAlignment="1">
      <x:alignment wrapText="1"/>
    </x:xf>
    <x:xf numFmtId="0" fontId="10" fillId="0" borderId="3" xfId="0" applyNumberFormat="1" applyFont="1" applyFill="1" applyBorder="1" applyAlignment="1">
      <x:alignment wrapText="1"/>
    </x:xf>
    <x:xf numFmtId="0" fontId="13" fillId="9" borderId="4" xfId="0" applyNumberFormat="1" applyFont="1" applyFill="1" applyBorder="1" applyAlignment="1">
      <x:alignment horizontal="center"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3" fillId="10" borderId="7" xfId="0" applyNumberFormat="1" applyFont="1" applyFill="1" applyBorder="1" applyAlignment="1">
      <x:alignment horizontal="center" wrapText="1"/>
    </x:xf>
    <x:xf numFmtId="0" fontId="13" fillId="11" borderId="7" xfId="0" applyNumberFormat="1" applyFont="1" applyFill="1" applyBorder="1" applyAlignment="1">
      <x:alignment horizontal="center" wrapText="1"/>
    </x:xf>
    <x:xf numFmtId="0" fontId="13" fillId="12" borderId="7" xfId="0" applyNumberFormat="1" applyFont="1" applyFill="1" applyBorder="1" applyAlignment="1">
      <x:alignment horizontal="center" wrapText="1"/>
    </x:xf>
    <x:xf numFmtId="0" fontId="13" fillId="13" borderId="7" xfId="0" applyNumberFormat="1" applyFont="1" applyFill="1" applyBorder="1" applyAlignment="1">
      <x:alignment horizontal="center" wrapText="1"/>
    </x:xf>
    <x:xf numFmtId="0" fontId="13" fillId="9" borderId="7" xfId="0" applyNumberFormat="1" applyFont="1" applyFill="1" applyBorder="1" applyAlignment="1">
      <x:alignment horizontal="center" wrapText="1"/>
    </x:xf>
    <x:xf numFmtId="0" fontId="13" fillId="14" borderId="7" xfId="0" applyNumberFormat="1" applyFont="1" applyFill="1" applyBorder="1" applyAlignment="1">
      <x:alignment horizontal="center" wrapText="1"/>
    </x:xf>
    <x:xf numFmtId="0" fontId="13" fillId="15" borderId="7" xfId="0" applyNumberFormat="1" applyFont="1" applyFill="1" applyBorder="1" applyAlignment="1">
      <x:alignment horizontal="center" wrapText="1"/>
    </x:xf>
    <x:xf numFmtId="0" fontId="13" fillId="16" borderId="7" xfId="0" applyNumberFormat="1" applyFont="1" applyFill="1" applyBorder="1" applyAlignment="1">
      <x:alignment horizontal="center" wrapText="1"/>
    </x:xf>
    <x:xf numFmtId="0" fontId="13" fillId="17" borderId="7" xfId="0" applyNumberFormat="1" applyFont="1" applyFill="1" applyBorder="1" applyAlignment="1">
      <x:alignment horizontal="center" wrapText="1"/>
    </x:xf>
    <x:xf numFmtId="0" fontId="13" fillId="18" borderId="7" xfId="0" applyNumberFormat="1" applyFont="1" applyFill="1" applyBorder="1" applyAlignment="1">
      <x:alignment horizontal="center" wrapText="1"/>
    </x:xf>
    <x:xf numFmtId="0" fontId="13" fillId="19" borderId="7" xfId="0" applyNumberFormat="1" applyFont="1" applyFill="1" applyBorder="1" applyAlignment="1">
      <x:alignment horizontal="center" wrapText="1"/>
    </x:xf>
    <x:xf numFmtId="0" fontId="13" fillId="20" borderId="7" xfId="0" applyNumberFormat="1" applyFont="1" applyFill="1" applyBorder="1" applyAlignment="1">
      <x:alignment horizontal="center" wrapText="1"/>
    </x:xf>
    <x:xf numFmtId="0" fontId="10" fillId="0" borderId="8" xfId="0" applyNumberFormat="1" applyFont="1" applyFill="1" applyBorder="1" applyAlignment="1">
      <x:alignment wrapText="1"/>
    </x:xf>
    <x:xf numFmtId="0" fontId="10" fillId="0" borderId="9" xfId="0" applyNumberFormat="1" applyFont="1" applyFill="1" applyBorder="1" applyAlignment="1">
      <x:alignment wrapText="1"/>
    </x:xf>
    <x:xf numFmtId="0" fontId="13" fillId="13" borderId="10" xfId="0" applyNumberFormat="1" applyFont="1" applyFill="1" applyBorder="1" applyAlignment="1">
      <x:alignment horizontal="center" wrapText="1"/>
    </x:xf>
    <x:xf numFmtId="0" fontId="10" fillId="0" borderId="2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vertical="center" wrapText="1"/>
    </x:xf>
    <x:xf numFmtId="0" fontId="13" fillId="9" borderId="4" xfId="0" applyNumberFormat="1" applyFont="1" applyFill="1" applyBorder="1" applyAlignment="1">
      <x:alignment horizontal="center" vertical="center" wrapText="1"/>
    </x:xf>
    <x:xf numFmtId="0" fontId="10" fillId="0" borderId="5" xfId="0" applyNumberFormat="1" applyFont="1" applyFill="1" applyBorder="1" applyAlignment="1">
      <x:alignment vertical="center" wrapText="1"/>
    </x:xf>
    <x:xf numFmtId="0" fontId="10" fillId="0" borderId="6" xfId="0" applyNumberFormat="1" applyFont="1" applyFill="1" applyBorder="1" applyAlignment="1">
      <x:alignment vertical="center" wrapText="1"/>
    </x:xf>
    <x:xf numFmtId="0" fontId="13" fillId="10" borderId="7" xfId="0" applyNumberFormat="1" applyFont="1" applyFill="1" applyBorder="1" applyAlignment="1">
      <x:alignment horizontal="center" vertical="center" wrapText="1"/>
    </x:xf>
    <x:xf numFmtId="0" fontId="13" fillId="11" borderId="7" xfId="0" applyNumberFormat="1" applyFont="1" applyFill="1" applyBorder="1" applyAlignment="1">
      <x:alignment horizontal="center" vertical="center" wrapText="1"/>
    </x:xf>
    <x:xf numFmtId="0" fontId="13" fillId="12" borderId="7" xfId="0" applyNumberFormat="1" applyFont="1" applyFill="1" applyBorder="1" applyAlignment="1">
      <x:alignment horizontal="center" vertical="center" wrapText="1"/>
    </x:xf>
    <x:xf numFmtId="0" fontId="13" fillId="13" borderId="7" xfId="0" applyNumberFormat="1" applyFont="1" applyFill="1" applyBorder="1" applyAlignment="1">
      <x:alignment horizontal="center" vertical="center" wrapText="1"/>
    </x:xf>
    <x:xf numFmtId="0" fontId="13" fillId="9" borderId="7" xfId="0" applyNumberFormat="1" applyFont="1" applyFill="1" applyBorder="1" applyAlignment="1">
      <x:alignment horizontal="center" vertical="center" wrapText="1"/>
    </x:xf>
    <x:xf numFmtId="0" fontId="13" fillId="14" borderId="7" xfId="0" applyNumberFormat="1" applyFont="1" applyFill="1" applyBorder="1" applyAlignment="1">
      <x:alignment horizontal="center" vertical="center" wrapText="1"/>
    </x:xf>
    <x:xf numFmtId="0" fontId="13" fillId="15" borderId="7" xfId="0" applyNumberFormat="1" applyFont="1" applyFill="1" applyBorder="1" applyAlignment="1">
      <x:alignment horizontal="center" vertical="center" wrapText="1"/>
    </x:xf>
    <x:xf numFmtId="0" fontId="13" fillId="16" borderId="7" xfId="0" applyNumberFormat="1" applyFont="1" applyFill="1" applyBorder="1" applyAlignment="1">
      <x:alignment horizontal="center" vertical="center" wrapText="1"/>
    </x:xf>
    <x:xf numFmtId="0" fontId="13" fillId="17" borderId="7" xfId="0" applyNumberFormat="1" applyFont="1" applyFill="1" applyBorder="1" applyAlignment="1">
      <x:alignment horizontal="center" vertical="center" wrapText="1"/>
    </x:xf>
    <x:xf numFmtId="0" fontId="13" fillId="18" borderId="7" xfId="0" applyNumberFormat="1" applyFont="1" applyFill="1" applyBorder="1" applyAlignment="1">
      <x:alignment horizontal="center" vertical="center" wrapText="1"/>
    </x:xf>
    <x:xf numFmtId="0" fontId="13" fillId="19" borderId="7" xfId="0" applyNumberFormat="1" applyFont="1" applyFill="1" applyBorder="1" applyAlignment="1">
      <x:alignment horizontal="center" vertical="center" wrapText="1"/>
    </x:xf>
    <x:xf numFmtId="0" fontId="13" fillId="20" borderId="7" xfId="0" applyNumberFormat="1" applyFont="1" applyFill="1" applyBorder="1" applyAlignment="1">
      <x:alignment horizontal="center" vertical="center" wrapText="1"/>
    </x:xf>
    <x:xf numFmtId="0" fontId="10" fillId="0" borderId="8" xfId="0" applyNumberFormat="1" applyFont="1" applyFill="1" applyBorder="1" applyAlignment="1">
      <x:alignment vertical="center" wrapText="1"/>
    </x:xf>
    <x:xf numFmtId="0" fontId="10" fillId="0" borderId="9" xfId="0" applyNumberFormat="1" applyFont="1" applyFill="1" applyBorder="1" applyAlignment="1">
      <x:alignment vertical="center" wrapText="1"/>
    </x:xf>
    <x:xf numFmtId="0" fontId="13" fillId="13" borderId="10" xfId="0" applyNumberFormat="1" applyFont="1" applyFill="1" applyBorder="1" applyAlignment="1">
      <x:alignment horizontal="center" vertical="center" wrapText="1"/>
    </x:xf>
    <x:xf numFmtId="201" fontId="10" fillId="0" borderId="3" xfId="0" applyNumberFormat="1" applyFont="1" applyFill="1" applyBorder="1" applyAlignment="1">
      <x:alignment vertical="center" wrapText="1"/>
    </x:xf>
    <x:xf numFmtId="201" fontId="10" fillId="0" borderId="6" xfId="0" applyNumberFormat="1" applyFont="1" applyFill="1" applyBorder="1" applyAlignment="1">
      <x:alignment vertical="center" wrapText="1"/>
    </x:xf>
    <x:xf numFmtId="201" fontId="10" fillId="0" borderId="9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horizontal="center" vertical="center" wrapText="1"/>
    </x:xf>
    <x:xf numFmtId="0" fontId="10" fillId="0" borderId="5" xfId="0" applyNumberFormat="1" applyFont="1" applyFill="1" applyBorder="1" applyAlignment="1">
      <x:alignment horizontal="center" vertical="center" wrapText="1"/>
    </x:xf>
    <x:xf numFmtId="0" fontId="10" fillId="0" borderId="8" xfId="0" applyNumberFormat="1" applyFont="1" applyFill="1" applyBorder="1" applyAlignment="1">
      <x:alignment horizontal="center" vertical="center" wrapText="1"/>
    </x:xf>
    <x:xf numFmtId="201" fontId="10" fillId="0" borderId="3" xfId="0" applyNumberFormat="1" applyFont="1" applyFill="1" applyBorder="1" applyAlignment="1">
      <x:alignment horizontal="right" vertical="center" wrapText="1"/>
    </x:xf>
    <x:xf numFmtId="201" fontId="10" fillId="0" borderId="6" xfId="0" applyNumberFormat="1" applyFont="1" applyFill="1" applyBorder="1" applyAlignment="1">
      <x:alignment horizontal="right" vertical="center" wrapText="1"/>
    </x:xf>
    <x:xf numFmtId="201" fontId="10" fillId="0" borderId="9" xfId="0" applyNumberFormat="1" applyFont="1" applyFill="1" applyBorder="1" applyAlignment="1">
      <x:alignment horizontal="right" vertical="center" wrapText="1"/>
    </x:xf>
    <x:xf numFmtId="0" fontId="13" fillId="21" borderId="4" xfId="0" applyNumberFormat="1" applyFont="1" applyFill="1" applyBorder="1" applyAlignment="1">
      <x:alignment horizontal="center" vertical="center" wrapText="1"/>
    </x:xf>
    <x:xf numFmtId="0" fontId="11" fillId="21" borderId="4" xfId="0" applyNumberFormat="1" applyFont="1" applyFill="1" applyBorder="1" applyAlignment="1">
      <x:alignment horizontal="center" vertical="center" wrapText="1"/>
    </x:xf>
    <x:xf numFmtId="0" fontId="13" fillId="22" borderId="7" xfId="0" applyNumberFormat="1" applyFont="1" applyFill="1" applyBorder="1" applyAlignment="1">
      <x:alignment horizontal="center" vertical="center" wrapText="1"/>
    </x:xf>
    <x:xf numFmtId="0" fontId="11" fillId="22" borderId="7" xfId="0" applyNumberFormat="1" applyFont="1" applyFill="1" applyBorder="1" applyAlignment="1">
      <x:alignment horizontal="center" vertical="center" wrapText="1"/>
    </x:xf>
    <x:xf numFmtId="0" fontId="13" fillId="23" borderId="7" xfId="0" applyNumberFormat="1" applyFont="1" applyFill="1" applyBorder="1" applyAlignment="1">
      <x:alignment horizontal="center" vertical="center" wrapText="1"/>
    </x:xf>
    <x:xf numFmtId="0" fontId="11" fillId="23" borderId="7" xfId="0" applyNumberFormat="1" applyFont="1" applyFill="1" applyBorder="1" applyAlignment="1">
      <x:alignment horizontal="center" vertical="center" wrapText="1"/>
    </x:xf>
    <x:xf numFmtId="0" fontId="13" fillId="24" borderId="7" xfId="0" applyNumberFormat="1" applyFont="1" applyFill="1" applyBorder="1" applyAlignment="1">
      <x:alignment horizontal="center" vertical="center" wrapText="1"/>
    </x:xf>
    <x:xf numFmtId="0" fontId="11" fillId="24" borderId="7" xfId="0" applyNumberFormat="1" applyFont="1" applyFill="1" applyBorder="1" applyAlignment="1">
      <x:alignment horizontal="center" vertical="center" wrapText="1"/>
    </x:xf>
    <x:xf numFmtId="0" fontId="13" fillId="25" borderId="7" xfId="0" applyNumberFormat="1" applyFont="1" applyFill="1" applyBorder="1" applyAlignment="1">
      <x:alignment horizontal="center" vertical="center" wrapText="1"/>
    </x:xf>
    <x:xf numFmtId="0" fontId="11" fillId="25" borderId="7" xfId="0" applyNumberFormat="1" applyFont="1" applyFill="1" applyBorder="1" applyAlignment="1">
      <x:alignment horizontal="center" vertical="center" wrapText="1"/>
    </x:xf>
    <x:xf numFmtId="0" fontId="13" fillId="21" borderId="7" xfId="0" applyNumberFormat="1" applyFont="1" applyFill="1" applyBorder="1" applyAlignment="1">
      <x:alignment horizontal="center" vertical="center" wrapText="1"/>
    </x:xf>
    <x:xf numFmtId="0" fontId="11" fillId="21" borderId="7" xfId="0" applyNumberFormat="1" applyFont="1" applyFill="1" applyBorder="1" applyAlignment="1">
      <x:alignment horizontal="center" vertical="center" wrapText="1"/>
    </x:xf>
    <x:xf numFmtId="0" fontId="13" fillId="26" borderId="7" xfId="0" applyNumberFormat="1" applyFont="1" applyFill="1" applyBorder="1" applyAlignment="1">
      <x:alignment horizontal="center" vertical="center" wrapText="1"/>
    </x:xf>
    <x:xf numFmtId="0" fontId="11" fillId="26" borderId="7" xfId="0" applyNumberFormat="1" applyFont="1" applyFill="1" applyBorder="1" applyAlignment="1">
      <x:alignment horizontal="center" vertical="center" wrapText="1"/>
    </x:xf>
    <x:xf numFmtId="0" fontId="13" fillId="27" borderId="7" xfId="0" applyNumberFormat="1" applyFont="1" applyFill="1" applyBorder="1" applyAlignment="1">
      <x:alignment horizontal="center" vertical="center" wrapText="1"/>
    </x:xf>
    <x:xf numFmtId="0" fontId="14" fillId="27" borderId="7" xfId="0" applyNumberFormat="1" applyFont="1" applyFill="1" applyBorder="1" applyAlignment="1">
      <x:alignment horizontal="center" vertical="center" wrapText="1"/>
    </x:xf>
    <x:xf numFmtId="0" fontId="13" fillId="28" borderId="7" xfId="0" applyNumberFormat="1" applyFont="1" applyFill="1" applyBorder="1" applyAlignment="1">
      <x:alignment horizontal="center" vertical="center" wrapText="1"/>
    </x:xf>
    <x:xf numFmtId="0" fontId="14" fillId="28" borderId="7" xfId="0" applyNumberFormat="1" applyFont="1" applyFill="1" applyBorder="1" applyAlignment="1">
      <x:alignment horizontal="center" vertical="center" wrapText="1"/>
    </x:xf>
    <x:xf numFmtId="0" fontId="13" fillId="29" borderId="7" xfId="0" applyNumberFormat="1" applyFont="1" applyFill="1" applyBorder="1" applyAlignment="1">
      <x:alignment horizontal="center" vertical="center" wrapText="1"/>
    </x:xf>
    <x:xf numFmtId="0" fontId="11" fillId="29" borderId="7" xfId="0" applyNumberFormat="1" applyFont="1" applyFill="1" applyBorder="1" applyAlignment="1">
      <x:alignment horizontal="center" vertical="center" wrapText="1"/>
    </x:xf>
    <x:xf numFmtId="0" fontId="13" fillId="30" borderId="7" xfId="0" applyNumberFormat="1" applyFont="1" applyFill="1" applyBorder="1" applyAlignment="1">
      <x:alignment horizontal="center" vertical="center" wrapText="1"/>
    </x:xf>
    <x:xf numFmtId="0" fontId="11" fillId="30" borderId="7" xfId="0" applyNumberFormat="1" applyFont="1" applyFill="1" applyBorder="1" applyAlignment="1">
      <x:alignment horizontal="center" vertical="center" wrapText="1"/>
    </x:xf>
    <x:xf numFmtId="0" fontId="13" fillId="31" borderId="7" xfId="0" applyNumberFormat="1" applyFont="1" applyFill="1" applyBorder="1" applyAlignment="1">
      <x:alignment horizontal="center" vertical="center" wrapText="1"/>
    </x:xf>
    <x:xf numFmtId="0" fontId="11" fillId="31" borderId="7" xfId="0" applyNumberFormat="1" applyFont="1" applyFill="1" applyBorder="1" applyAlignment="1">
      <x:alignment horizontal="center" vertical="center" wrapText="1"/>
    </x:xf>
    <x:xf numFmtId="0" fontId="13" fillId="32" borderId="7" xfId="0" applyNumberFormat="1" applyFont="1" applyFill="1" applyBorder="1" applyAlignment="1">
      <x:alignment horizontal="center" vertical="center" wrapText="1"/>
    </x:xf>
    <x:xf numFmtId="0" fontId="14" fillId="32" borderId="7" xfId="0" applyNumberFormat="1" applyFont="1" applyFill="1" applyBorder="1" applyAlignment="1">
      <x:alignment horizontal="center" vertical="center" wrapText="1"/>
    </x:xf>
    <x:xf numFmtId="0" fontId="13" fillId="25" borderId="10" xfId="0" applyNumberFormat="1" applyFont="1" applyFill="1" applyBorder="1" applyAlignment="1">
      <x:alignment horizontal="center" vertical="center" wrapText="1"/>
    </x:xf>
    <x:xf numFmtId="0" fontId="11" fillId="25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1072fc59014fcf" /><Relationship Type="http://schemas.openxmlformats.org/officeDocument/2006/relationships/theme" Target="/xl/theme/theme1.xml" Id="R62fd42db9e964279" /><Relationship Type="http://schemas.openxmlformats.org/officeDocument/2006/relationships/sharedStrings" Target="/xl/sharedStrings.xml" Id="Rb17c4ebae8fe4ac1" /><Relationship Type="http://schemas.openxmlformats.org/officeDocument/2006/relationships/worksheet" Target="/xl/worksheets/sheet1.xml" Id="R0ea42e17e4534e04" /><Relationship Type="http://schemas.openxmlformats.org/officeDocument/2006/relationships/worksheet" Target="/xl/worksheets/sheet2.xml" Id="Rdd5c647d9f9340ac" /><Relationship Type="http://schemas.openxmlformats.org/officeDocument/2006/relationships/worksheet" Target="/xl/worksheets/sheet3.xml" Id="R637877064a004f80" /><Relationship Type="http://schemas.openxmlformats.org/officeDocument/2006/relationships/worksheet" Target="/xl/worksheets/sheet4.xml" Id="R7c12a351849344d3" /><Relationship Type="http://schemas.openxmlformats.org/officeDocument/2006/relationships/worksheet" Target="/xl/worksheets/sheet5.xml" Id="Rc4eb7a7c3ad94cc6" /><Relationship Type="http://schemas.openxmlformats.org/officeDocument/2006/relationships/worksheet" Target="/xl/worksheets/sheet6.xml" Id="R3a58c2065ac14ba3" /><Relationship Type="http://schemas.openxmlformats.org/officeDocument/2006/relationships/worksheet" Target="/xl/worksheets/sheet7.xml" Id="R9b62f8e4a80e4d05" /><Relationship Type="http://schemas.openxmlformats.org/officeDocument/2006/relationships/worksheet" Target="/xl/worksheets/sheet8.xml" Id="R8d693b9561394bd0" /><Relationship Type="http://schemas.openxmlformats.org/officeDocument/2006/relationships/worksheet" Target="/xl/worksheets/sheet9.xml" Id="Re3b0abad2d9f481e" /><Relationship Type="http://schemas.openxmlformats.org/officeDocument/2006/relationships/worksheet" Target="/xl/worksheets/sheet10.xml" Id="Rc12f55f437ea4a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58" hidden="0" customWidth="1"/>
  </x:cols>
  <x:sheetData>
    <x:row r="1" ht="30" customHeight="1">
      <x:c r="A1" s="46" t="str">
        <x:v>Entrada sintética para prueba de regresión — 2026Q1</x:v>
      </x:c>
      <x:c r="B1" s="47"/>
      <x:c r="C1" s="47"/>
      <x:c r="D1" s="48"/>
    </x:row>
    <x:row r="2">
      <x:c r="A2" s="49"/>
      <x:c r="B2" s="50"/>
      <x:c r="C2" s="50"/>
      <x:c r="D2" s="51"/>
    </x:row>
    <x:row r="3" ht="48" customHeight="1">
      <x:c r="A3" s="52" t="str">
        <x:v>Datos completamente ficticios para comprobar la automatización. No publicar ni interpretar como información real del sector.</x:v>
      </x:c>
      <x:c r="B3" s="8"/>
      <x:c r="C3" s="8"/>
      <x:c r="D3" s="53"/>
    </x:row>
    <x:row r="4">
      <x:c r="A4" s="49"/>
      <x:c r="B4" s="50"/>
      <x:c r="C4" s="50"/>
      <x:c r="D4" s="51"/>
    </x:row>
    <x:row r="5">
      <x:c r="A5" s="54" t="str">
        <x:v>Etapa general</x:v>
      </x:c>
      <x:c r="B5" s="14" t="str">
        <x:v>Entrada</x:v>
      </x:c>
      <x:c r="C5" s="14" t="str">
        <x:v>Salida</x:v>
      </x:c>
      <x:c r="D5" s="55" t="str">
        <x:v>Propósito</x:v>
      </x:c>
    </x:row>
    <x:row r="6">
      <x:c r="A6" s="35" t="str">
        <x:v>1. Preparación</x:v>
      </x:c>
      <x:c r="B6" s="35" t="str">
        <x:v>XLSX procesado</x:v>
      </x:c>
      <x:c r="C6" s="35" t="str">
        <x:v>Datos validados</x:v>
      </x:c>
      <x:c r="D6" s="35" t="str">
        <x:v>Confirmar que la estructura coincide con el Word</x:v>
      </x:c>
    </x:row>
    <x:row r="7">
      <x:c r="A7" s="38" t="str">
        <x:v>2. Previsualización</x:v>
      </x:c>
      <x:c r="B7" s="38" t="str">
        <x:v>Tablas validadas</x:v>
      </x:c>
      <x:c r="C7" s="38" t="str">
        <x:v>Tablas y gráficas preliminares</x:v>
      </x:c>
      <x:c r="D7" s="38" t="str">
        <x:v>Crear los elementos que después utilizará el documento</x:v>
      </x:c>
    </x:row>
    <x:row r="8">
      <x:c r="A8" s="38" t="str">
        <x:v>3. Monitoreo</x:v>
      </x:c>
      <x:c r="B8" s="38" t="str">
        <x:v>Copias preliminares</x:v>
      </x:c>
      <x:c r="C8" s="38" t="str">
        <x:v>Google Sheets y PNG en Drive</x:v>
      </x:c>
      <x:c r="D8" s="38" t="str">
        <x:v>Registrar que el programa produjo todos los elementos</x:v>
      </x:c>
    </x:row>
    <x:row r="9">
      <x:c r="A9" s="38" t="str">
        <x:v>4. Actualización</x:v>
      </x:c>
      <x:c r="B9" s="38" t="str">
        <x:v>Versión monitoreada</x:v>
      </x:c>
      <x:c r="C9" s="38" t="str">
        <x:v>Copia actualizada del Word</x:v>
      </x:c>
      <x:c r="D9" s="38" t="str">
        <x:v>Sustituir únicamente datos editables e imágenes</x:v>
      </x:c>
    </x:row>
    <x:row r="10">
      <x:c r="A10" s="41" t="str">
        <x:v>5. Verificación</x:v>
      </x:c>
      <x:c r="B10" s="41" t="str">
        <x:v>Word actualizado</x:v>
      </x:c>
      <x:c r="C10" s="41" t="str">
        <x:v>Documento revisado</x:v>
      </x:c>
      <x:c r="D10" s="41" t="str">
        <x:v>Comprobar integridad, cifras y presentación</x:v>
      </x:c>
    </x:row>
    <x:row r="11">
      <x:c r="A11" s="49"/>
      <x:c r="B11" s="50"/>
      <x:c r="C11" s="50"/>
      <x:c r="D11" s="51"/>
    </x:row>
    <x:row r="12">
      <x:c r="A12" s="56" t="str">
        <x:v>Reglas de uso</x:v>
      </x:c>
      <x:c r="B12" s="43" t="str"/>
      <x:c r="C12" s="43" t="str"/>
      <x:c r="D12" s="57" t="str"/>
    </x:row>
    <x:row r="13">
      <x:c r="A13" s="58" t="str">
        <x:v>•</x:v>
      </x:c>
      <x:c r="B13" s="45" t="str">
        <x:v>Modificar únicamente las hojas Parámetros y Tabla_1 a Tabla_6.</x:v>
      </x:c>
      <x:c r="C13" s="45" t="str"/>
      <x:c r="D13" s="59" t="str"/>
    </x:row>
    <x:row r="14">
      <x:c r="A14" s="58" t="str">
        <x:v>•</x:v>
      </x:c>
      <x:c r="B14" s="45" t="str">
        <x:v>No cambiar nombres de hojas ni encabezados sin actualizar el programa.</x:v>
      </x:c>
      <x:c r="C14" s="45" t="str"/>
      <x:c r="D14" s="59" t="str"/>
    </x:row>
    <x:row r="15">
      <x:c r="A15" s="58" t="str">
        <x:v>•</x:v>
      </x:c>
      <x:c r="B15" s="45" t="str">
        <x:v>Las gráficas deben generarse desde los mismos valores usados en las tablas.</x:v>
      </x:c>
      <x:c r="C15" s="45" t="str"/>
      <x:c r="D15" s="59" t="str"/>
    </x:row>
    <x:row r="16">
      <x:c r="A16" s="36" t="str">
        <x:v>•</x:v>
      </x:c>
      <x:c r="B16" s="60" t="str">
        <x:v>Cada ejecución crea una versión nueva; nunca sobrescribe el Word original.</x:v>
      </x:c>
      <x:c r="C16" s="60" t="str"/>
      <x:c r="D16" s="34" t="str"/>
    </x:row>
  </x:sheetData>
  <x:mergeCells>
    <x:mergeCell ref="A1:D1"/>
    <x:mergeCell ref="A3:D3"/>
    <x:mergeCell ref="A12:D12"/>
    <x:mergeCell ref="B13:D13"/>
    <x:mergeCell ref="B14:D14"/>
    <x:mergeCell ref="B15:D15"/>
    <x:mergeCell ref="B16:D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8" hidden="0" customWidth="1"/>
    <x:col min="3" max="3" width="34" hidden="0" customWidth="1"/>
  </x:cols>
  <x:sheetData>
    <x:row r="1" ht="30" hidden="0" customHeight="1">
      <x:c r="A1" s="4" t="str">
        <x:v>Parámetros de prueba sintética 2026Q1</x:v>
      </x:c>
      <x:c r="B1" s="4"/>
      <x:c r="C1" s="4"/>
    </x:row>
    <x:row r="2"/>
    <x:row r="3" ht="15" hidden="0" customHeight="1">
      <x:c r="A3" s="14" t="str">
        <x:v>Parámetro</x:v>
      </x:c>
      <x:c r="B3" s="14" t="str">
        <x:v>Valor</x:v>
      </x:c>
      <x:c r="C3" s="14" t="str">
        <x:v>Uso</x:v>
      </x:c>
    </x:row>
    <x:row r="4" ht="15" hidden="0" customHeight="1">
      <x:c r="A4" s="61" t="str">
        <x:v>reporte</x:v>
      </x:c>
      <x:c r="B4" s="64" t="str">
        <x:v>Reporte de Datos del Sector de Telecomunicaciones</x:v>
      </x:c>
      <x:c r="C4" s="36" t="str">
        <x:v>Nombre del documento</x:v>
      </x:c>
    </x:row>
    <x:row r="5" ht="15" hidden="0" customHeight="1">
      <x:c r="A5" s="62" t="str">
        <x:v>periodo_codigo</x:v>
      </x:c>
      <x:c r="B5" s="65" t="str">
        <x:v>2026Q1</x:v>
      </x:c>
      <x:c r="C5" s="39" t="str">
        <x:v>Nombre de carpetas y archivos</x:v>
      </x:c>
    </x:row>
    <x:row r="6" ht="15" hidden="0" customHeight="1">
      <x:c r="A6" s="62" t="str">
        <x:v>trimestre_numero</x:v>
      </x:c>
      <x:c r="B6" s="65" t="n">
        <x:v>1</x:v>
      </x:c>
      <x:c r="C6" s="39" t="str">
        <x:v>Control del periodo</x:v>
      </x:c>
    </x:row>
    <x:row r="7" ht="15" hidden="0" customHeight="1">
      <x:c r="A7" s="62" t="str">
        <x:v>anio</x:v>
      </x:c>
      <x:c r="B7" s="65" t="n">
        <x:v>2026</x:v>
      </x:c>
      <x:c r="C7" s="39" t="str">
        <x:v>Control del periodo</x:v>
      </x:c>
    </x:row>
    <x:row r="8" ht="15" hidden="0" customHeight="1">
      <x:c r="A8" s="62" t="str">
        <x:v>periodo_texto</x:v>
      </x:c>
      <x:c r="B8" s="65" t="str">
        <x:v>primer trimestre de 2026</x:v>
      </x:c>
      <x:c r="C8" s="39" t="str">
        <x:v>Redacción dentro del documento</x:v>
      </x:c>
    </x:row>
    <x:row r="9" ht="15" hidden="0" customHeight="1">
      <x:c r="A9" s="62" t="str">
        <x:v>periodo_portada</x:v>
      </x:c>
      <x:c r="B9" s="65" t="str">
        <x:v>PRIMER TRIMESTRE DE 2026</x:v>
      </x:c>
      <x:c r="C9" s="39" t="str">
        <x:v>Portada y pie de página</x:v>
      </x:c>
    </x:row>
    <x:row r="10" ht="15" hidden="0" customHeight="1">
      <x:c r="A10" s="62" t="str">
        <x:v>version</x:v>
      </x:c>
      <x:c r="B10" s="65" t="str">
        <x:v>vTEST</x:v>
      </x:c>
      <x:c r="C10" s="39" t="str">
        <x:v>Versionado</x:v>
      </x:c>
    </x:row>
    <x:row r="11" ht="15" hidden="0" customHeight="1">
      <x:c r="A11" s="62" t="str">
        <x:v>estructura_tablas</x:v>
      </x:c>
      <x:c r="B11" s="65" t="str">
        <x:v>Fija; igual al DOCX de referencia</x:v>
      </x:c>
      <x:c r="C11" s="39" t="str">
        <x:v>Validación previa</x:v>
      </x:c>
    </x:row>
    <x:row r="12" ht="15" hidden="0" customHeight="1">
      <x:c r="A12" s="62" t="str">
        <x:v>carpeta_drive_sugerida</x:v>
      </x:c>
      <x:c r="B12" s="65" t="str">
        <x:v>Reporte de Datos del Sector de Telecomunicaciones/2026/1T/prueba/</x:v>
      </x:c>
      <x:c r="C12" s="39" t="str">
        <x:v>Copias de monitoreo</x:v>
      </x:c>
    </x:row>
    <x:row r="13" ht="15" hidden="0" customHeight="1">
      <x:c r="A13" s="62" t="str">
        <x:v>modo_control</x:v>
      </x:c>
      <x:c r="B13" s="65" t="str">
        <x:v>Monitoreo general; sin aprobación individual</x:v>
      </x:c>
      <x:c r="C13" s="39" t="str">
        <x:v>Seguimiento de la ejecución</x:v>
      </x:c>
    </x:row>
    <x:row r="14" ht="15" hidden="0" customHeight="1">
      <x:c r="A14" s="62" t="str">
        <x:v>empresas_otros_tabla_1</x:v>
      </x:c>
      <x:c r="B14" s="65" t="n">
        <x:v>25</x:v>
      </x:c>
      <x:c r="C14" s="39" t="str">
        <x:v>Nota de la Tabla 1</x:v>
      </x:c>
    </x:row>
    <x:row r="15" ht="15" hidden="0" customHeight="1">
      <x:c r="A15" s="62" t="str">
        <x:v>empresas_otros_tabla_2</x:v>
      </x:c>
      <x:c r="B15" s="65" t="n">
        <x:v>23</x:v>
      </x:c>
      <x:c r="C15" s="39" t="str">
        <x:v>Nota de la Tabla 2</x:v>
      </x:c>
    </x:row>
    <x:row r="16" ht="15" hidden="0" customHeight="1">
      <x:c r="A16" s="62" t="str">
        <x:v>empresas_otros_tabla_3</x:v>
      </x:c>
      <x:c r="B16" s="65" t="n">
        <x:v>46</x:v>
      </x:c>
      <x:c r="C16" s="39" t="str">
        <x:v>Nota de la Tabla 3</x:v>
      </x:c>
    </x:row>
    <x:row r="17" ht="15" hidden="0" customHeight="1">
      <x:c r="A17" s="62" t="str">
        <x:v>empresas_otros_tabla_4</x:v>
      </x:c>
      <x:c r="B17" s="65" t="n">
        <x:v>3</x:v>
      </x:c>
      <x:c r="C17" s="39" t="str">
        <x:v>Nota de la Tabla 4</x:v>
      </x:c>
    </x:row>
    <x:row r="18" ht="15" hidden="0" customHeight="1">
      <x:c r="A18" s="62" t="str">
        <x:v>empresas_otros_tabla_5</x:v>
      </x:c>
      <x:c r="B18" s="65" t="n">
        <x:v>19</x:v>
      </x:c>
      <x:c r="C18" s="39" t="str">
        <x:v>Nota de la Tabla 5</x:v>
      </x:c>
    </x:row>
    <x:row r="19" ht="15" hidden="0" customHeight="1">
      <x:c r="A19" s="62" t="str">
        <x:v>empresas_otros_tabla_6</x:v>
      </x:c>
      <x:c r="B19" s="65" t="n">
        <x:v>12</x:v>
      </x:c>
      <x:c r="C19" s="39" t="str">
        <x:v>Nota de la Tabla 6</x:v>
      </x:c>
    </x:row>
    <x:row r="20" ht="15" hidden="0" customHeight="1">
      <x:c r="A20" s="63" t="str">
        <x:v>archivo_referencia</x:v>
      </x:c>
      <x:c r="B20" s="66" t="str">
        <x:v>Datos sintéticos 2026Q1; no publicar</x:v>
      </x:c>
      <x:c r="C20" s="42" t="str">
        <x:v>Trazabilidad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52" hidden="0" customWidth="1"/>
    <x:col min="4" max="4" width="18" hidden="0" customWidth="1"/>
    <x:col min="5" max="5" width="45" hidden="0" customWidth="1"/>
  </x:cols>
  <x:sheetData>
    <x:row r="1" ht="30" hidden="0" customHeight="1">
      <x:c r="A1" s="4" t="str">
        <x:v>Control general del proyecto y de las ejecuciones</x:v>
      </x:c>
      <x:c r="B1" s="4"/>
      <x:c r="C1" s="4"/>
      <x:c r="D1" s="4"/>
      <x:c r="E1" s="4"/>
    </x:row>
    <x:row r="2"/>
    <x:row r="3" ht="15" hidden="0" customHeight="1">
      <x:c r="A3" s="14" t="str">
        <x:v>Paso</x:v>
      </x:c>
      <x:c r="B3" s="14" t="str">
        <x:v>Definición</x:v>
      </x:c>
      <x:c r="C3" s="14" t="str">
        <x:v>Decisión</x:v>
      </x:c>
      <x:c r="D3" s="14" t="str">
        <x:v>Estado</x:v>
      </x:c>
      <x:c r="E3" s="14" t="str">
        <x:v>Observaciones</x:v>
      </x:c>
    </x:row>
    <x:row r="4" ht="15" hidden="0" customHeight="1">
      <x:c r="A4" s="34" t="n">
        <x:v>1</x:v>
      </x:c>
      <x:c r="B4" s="35" t="str">
        <x:v>Flujo previo al Word</x:v>
      </x:c>
      <x:c r="C4" s="35" t="str">
        <x:v>Crear copias de tablas y gráficas antes de actualizar el Word</x:v>
      </x:c>
      <x:c r="D4" s="73" t="str">
        <x:v>Completado</x:v>
      </x:c>
      <x:c r="E4" s="36" t="str">
        <x:v>Definido como monitoreo, no aprobación</x:v>
      </x:c>
    </x:row>
    <x:row r="5" ht="15" hidden="0" customHeight="1">
      <x:c r="A5" s="37" t="n">
        <x:v>2</x:v>
      </x:c>
      <x:c r="B5" s="38" t="str">
        <x:v>Archivo de entrada</x:v>
      </x:c>
      <x:c r="C5" s="38" t="str">
        <x:v>Un archivo XLSX con parámetros y seis tablas</x:v>
      </x:c>
      <x:c r="D5" s="74" t="str">
        <x:v>Completado</x:v>
      </x:c>
      <x:c r="E5" s="39" t="str">
        <x:v>Ejemplo construido con datos del DOCX</x:v>
      </x:c>
    </x:row>
    <x:row r="6" ht="15" hidden="0" customHeight="1">
      <x:c r="A6" s="37" t="n">
        <x:v>3</x:v>
      </x:c>
      <x:c r="B6" s="38" t="str">
        <x:v>Estructura de tablas</x:v>
      </x:c>
      <x:c r="C6" s="38" t="str">
        <x:v>Estructura fija igual al documento de referencia</x:v>
      </x:c>
      <x:c r="D6" s="74" t="str">
        <x:v>Completado</x:v>
      </x:c>
      <x:c r="E6" s="39" t="str">
        <x:v>Cambios estructurales se tratarán después</x:v>
      </x:c>
    </x:row>
    <x:row r="7" ht="15" hidden="0" customHeight="1">
      <x:c r="A7" s="37" t="n">
        <x:v>4</x:v>
      </x:c>
      <x:c r="B7" s="38" t="str">
        <x:v>Ubicación en Drive</x:v>
      </x:c>
      <x:c r="C7" s="38" t="str">
        <x:v>Carpeta por periodo y versión</x:v>
      </x:c>
      <x:c r="D7" s="74" t="str">
        <x:v>Completado</x:v>
      </x:c>
      <x:c r="E7" s="39" t="str">
        <x:v>Ruta sugerida registrada en Parámetros</x:v>
      </x:c>
    </x:row>
    <x:row r="8" ht="15" hidden="0" customHeight="1">
      <x:c r="A8" s="40" t="n">
        <x:v>5</x:v>
      </x:c>
      <x:c r="B8" s="41" t="str">
        <x:v>Control del programa</x:v>
      </x:c>
      <x:c r="C8" s="41" t="str">
        <x:v>Monitoreo general de etapas</x:v>
      </x:c>
      <x:c r="D8" s="75" t="str">
        <x:v>Completado</x:v>
      </x:c>
      <x:c r="E8" s="42" t="str">
        <x:v>Sin aprobación por tabla o gráfica</x:v>
      </x:c>
    </x:row>
    <x:row r="9"/>
    <x:row r="10"/>
    <x:row r="11" ht="15" hidden="0" customHeight="1">
      <x:c r="A11" s="43" t="str">
        <x:v>Monitoreo de cada ejecución futura</x:v>
      </x:c>
      <x:c r="B11" s="43"/>
      <x:c r="C11" s="43"/>
      <x:c r="D11" s="43"/>
      <x:c r="E11" s="43"/>
    </x:row>
    <x:row r="12"/>
    <x:row r="13" ht="15" hidden="0" customHeight="1">
      <x:c r="A13" s="14" t="str">
        <x:v>Etapa</x:v>
      </x:c>
      <x:c r="B13" s="14" t="str">
        <x:v>Resultado esperado</x:v>
      </x:c>
      <x:c r="C13" s="14" t="str">
        <x:v>Estado</x:v>
      </x:c>
      <x:c r="D13" s="14" t="str">
        <x:v>Fecha y hora</x:v>
      </x:c>
      <x:c r="E13" s="14" t="str">
        <x:v>Detalle</x:v>
      </x:c>
    </x:row>
    <x:row r="14" ht="15" hidden="0" customHeight="1">
      <x:c r="A14" s="34" t="str">
        <x:v>Entrada</x:v>
      </x:c>
      <x:c r="B14" s="35" t="str">
        <x:v>XLSX leído y validado</x:v>
      </x:c>
      <x:c r="C14" s="82" t="str">
        <x:v>No ejecutado</x:v>
      </x:c>
      <x:c r="D14" s="35" t="str"/>
      <x:c r="E14" s="36" t="str"/>
    </x:row>
    <x:row r="15" ht="15" hidden="0" customHeight="1">
      <x:c r="A15" s="37" t="str">
        <x:v>Tablas</x:v>
      </x:c>
      <x:c r="B15" s="38" t="str">
        <x:v>Seis copias preparadas</x:v>
      </x:c>
      <x:c r="C15" s="83" t="str">
        <x:v>No ejecutado</x:v>
      </x:c>
      <x:c r="D15" s="38" t="str"/>
      <x:c r="E15" s="39" t="str"/>
    </x:row>
    <x:row r="16" ht="15" hidden="0" customHeight="1">
      <x:c r="A16" s="37" t="str">
        <x:v>Gráficas</x:v>
      </x:c>
      <x:c r="B16" s="38" t="str">
        <x:v>Seis PNG generados</x:v>
      </x:c>
      <x:c r="C16" s="83" t="str">
        <x:v>No ejecutado</x:v>
      </x:c>
      <x:c r="D16" s="38" t="str"/>
      <x:c r="E16" s="39" t="str"/>
    </x:row>
    <x:row r="17" ht="15" hidden="0" customHeight="1">
      <x:c r="A17" s="37" t="str">
        <x:v>Drive</x:v>
      </x:c>
      <x:c r="B17" s="38" t="str">
        <x:v>Copias de monitoreo publicadas</x:v>
      </x:c>
      <x:c r="C17" s="83" t="str">
        <x:v>No ejecutado</x:v>
      </x:c>
      <x:c r="D17" s="38" t="str"/>
      <x:c r="E17" s="39" t="str"/>
    </x:row>
    <x:row r="18" ht="15" hidden="0" customHeight="1">
      <x:c r="A18" s="37" t="str">
        <x:v>Word</x:v>
      </x:c>
      <x:c r="B18" s="38" t="str">
        <x:v>Copia del documento actualizada</x:v>
      </x:c>
      <x:c r="C18" s="83" t="str">
        <x:v>No ejecutado</x:v>
      </x:c>
      <x:c r="D18" s="38" t="str"/>
      <x:c r="E18" s="39" t="str"/>
    </x:row>
    <x:row r="19" ht="15" hidden="0" customHeight="1">
      <x:c r="A19" s="37" t="str">
        <x:v>Verificación</x:v>
      </x:c>
      <x:c r="B19" s="38" t="str">
        <x:v>Documento renderizado y revisado</x:v>
      </x:c>
      <x:c r="C19" s="83" t="str">
        <x:v>No ejecutado</x:v>
      </x:c>
      <x:c r="D19" s="38" t="str"/>
      <x:c r="E19" s="39" t="str"/>
    </x:row>
    <x:row r="20" ht="15" hidden="0" customHeight="1">
      <x:c r="A20" s="40" t="str">
        <x:v>Resultado</x:v>
      </x:c>
      <x:c r="B20" s="41" t="str">
        <x:v>Archivos finales versionados</x:v>
      </x:c>
      <x:c r="C20" s="84" t="str">
        <x:v>No ejecutado</x:v>
      </x:c>
      <x:c r="D20" s="41" t="str"/>
      <x:c r="E20" s="42" t="str"/>
    </x:row>
  </x:sheetData>
  <x:mergeCells>
    <x:mergeCell ref="A1:E1"/>
    <x:mergeCell ref="A11:E11"/>
  </x:mergeCells>
  <x:dataValidations count="1">
    <x:dataValidation type="list" sqref="C14:C20">
      <x:formula1>"No ejecutado,En proceso,Correcto,Advertencia,Error"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66" hidden="0" customWidth="1"/>
    <x:col min="4" max="4" width="20" hidden="0" customWidth="1"/>
  </x:cols>
  <x:sheetData>
    <x:row r="1" ht="30" hidden="0" customHeight="1">
      <x:c r="A1" s="4" t="str">
        <x:v>Tabla 1 — prueba sintética 2026Q1</x:v>
      </x:c>
      <x:c r="B1" s="4"/>
      <x:c r="C1" s="4"/>
      <x:c r="D1" s="4"/>
    </x:row>
    <x:row r="2" ht="15" hidden="0" customHeight="1">
      <x:c r="A2" s="87" t="str">
        <x:v>Estructura fija. Datos ficticios 2026Q1 para prueba de regresión; no publicar.</x:v>
      </x:c>
      <x:c r="B2" s="87"/>
      <x:c r="C2" s="87"/>
      <x:c r="D2" s="87"/>
    </x:row>
    <x:row r="3"/>
    <x:row r="4" ht="36" hidden="0" customHeight="1">
      <x:c r="A4" s="14" t="str">
        <x:v>Grupo Económico</x:v>
      </x:c>
      <x:c r="B4" s="14" t="str">
        <x:v>Empresa</x:v>
      </x:c>
      <x:c r="C4" s="14" t="str">
        <x:v>Concesionario</x:v>
      </x:c>
      <x:c r="D4" s="14" t="str">
        <x:v>Líneas activas</x:v>
      </x:c>
    </x:row>
    <x:row r="5" ht="15" hidden="0" customHeight="1">
      <x:c r="A5" s="101" t="str">
        <x:v>América Móvil</x:v>
      </x:c>
      <x:c r="B5" s="102" t="str">
        <x:v>Telcel</x:v>
      </x:c>
      <x:c r="C5" s="102" t="str">
        <x:v>Radiomóvil Dipsa, S.A. de C.V.</x:v>
      </x:c>
      <x:c r="D5" s="109" t="n">
        <x:v>82500000</x:v>
      </x:c>
    </x:row>
    <x:row r="6" ht="21.600000381469727" hidden="0" customHeight="1">
      <x:c r="A6" s="104" t="str">
        <x:v>AT&amp;T</x:v>
      </x:c>
      <x:c r="B6" s="105" t="str">
        <x:v>AT&amp;T</x:v>
      </x:c>
      <x:c r="C6" s="105" t="str">
        <x:v>AT&amp;T Conecta de México, S. de R.L. de C.V.; AT&amp;T Comercialización Movil, S. de R.L. de C.V.; AT&amp;T Comunicaciones Digitales, S. de R.L. de C.V.</x:v>
      </x:c>
      <x:c r="D6" s="110" t="n">
        <x:v>27800000</x:v>
      </x:c>
    </x:row>
    <x:row r="7" ht="15" hidden="0" customHeight="1">
      <x:c r="A7" s="104" t="str">
        <x:v>Telefónica</x:v>
      </x:c>
      <x:c r="B7" s="105" t="str">
        <x:v>Movistar</x:v>
      </x:c>
      <x:c r="C7" s="105" t="str">
        <x:v>Pegaso PCS, S.A. de C.V.</x:v>
      </x:c>
      <x:c r="D7" s="110" t="n">
        <x:v>18400000</x:v>
      </x:c>
    </x:row>
    <x:row r="8" ht="15" hidden="0" customHeight="1">
      <x:c r="A8" s="104" t="str">
        <x:v>Grupo Walmart</x:v>
      </x:c>
      <x:c r="B8" s="105" t="str">
        <x:v>Bodega Aurrera Internet y Telefonía BAIT</x:v>
      </x:c>
      <x:c r="C8" s="105" t="str">
        <x:v>WAL-MART Innovación, S. de R.L. de C.V.</x:v>
      </x:c>
      <x:c r="D8" s="110" t="n">
        <x:v>19200000</x:v>
      </x:c>
    </x:row>
    <x:row r="9" ht="15" hidden="0" customHeight="1">
      <x:c r="A9" s="120" t="str">
        <x:v>Otros</x:v>
      </x:c>
      <x:c r="B9" s="121" t="str"/>
      <x:c r="C9" s="121" t="str"/>
      <x:c r="D9" s="122" t="n">
        <x:v>7100000</x:v>
      </x:c>
    </x:row>
    <x:row r="10" ht="15" hidden="0" customHeight="1">
      <x:c r="A10" s="117" t="str">
        <x:v>TOTAL</x:v>
      </x:c>
      <x:c r="B10" s="118" t="str"/>
      <x:c r="C10" s="118" t="str"/>
      <x:c r="D10" s="119" t="n">
        <x:v>155000000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2" hidden="0" customWidth="1"/>
    <x:col min="3" max="3" width="66" hidden="0" customWidth="1"/>
    <x:col min="4" max="4" width="20" hidden="0" customWidth="1"/>
  </x:cols>
  <x:sheetData>
    <x:row r="1" ht="30" hidden="0" customHeight="1">
      <x:c r="A1" s="4" t="str">
        <x:v>Tabla 2 — prueba sintética 2026Q1</x:v>
      </x:c>
      <x:c r="B1" s="4"/>
      <x:c r="C1" s="4"/>
      <x:c r="D1" s="4"/>
    </x:row>
    <x:row r="2" ht="15" hidden="0" customHeight="1">
      <x:c r="A2" s="87" t="str">
        <x:v>Estructura fija. Datos ficticios 2026Q1 para prueba de regresión; no publicar.</x:v>
      </x:c>
      <x:c r="B2" s="87"/>
      <x:c r="C2" s="87"/>
      <x:c r="D2" s="87"/>
    </x:row>
    <x:row r="3"/>
    <x:row r="4" ht="36" hidden="0" customHeight="1">
      <x:c r="A4" s="14" t="str">
        <x:v>Grupo Económico</x:v>
      </x:c>
      <x:c r="B4" s="14" t="str">
        <x:v>Empresa</x:v>
      </x:c>
      <x:c r="C4" s="14" t="str">
        <x:v>Concesionario</x:v>
      </x:c>
      <x:c r="D4" s="14" t="str">
        <x:v>Accesos activos</x:v>
      </x:c>
    </x:row>
    <x:row r="5" ht="15" hidden="0" customHeight="1">
      <x:c r="A5" s="101" t="str">
        <x:v>América Móvil</x:v>
      </x:c>
      <x:c r="B5" s="102" t="str">
        <x:v>Telcel</x:v>
      </x:c>
      <x:c r="C5" s="102" t="str">
        <x:v>Radiomóvil Dipsa, S.A. de C.V.</x:v>
      </x:c>
      <x:c r="D5" s="109" t="n">
        <x:v>79800000</x:v>
      </x:c>
    </x:row>
    <x:row r="6" ht="21.600000381469727" hidden="0" customHeight="1">
      <x:c r="A6" s="104" t="str">
        <x:v>AT&amp;T</x:v>
      </x:c>
      <x:c r="B6" s="105" t="str">
        <x:v>AT&amp;T</x:v>
      </x:c>
      <x:c r="C6" s="105" t="str">
        <x:v>AT&amp;T Conecta de México, S. de R.L. de C.V.; AT&amp;T Comercialización Movil, S. de R.L. de C.V.; AT&amp;T Comunicaciones Digitales, S. de R.L. de C.V.</x:v>
      </x:c>
      <x:c r="D6" s="110" t="n">
        <x:v>29600000</x:v>
      </x:c>
    </x:row>
    <x:row r="7" ht="15" hidden="0" customHeight="1">
      <x:c r="A7" s="104" t="str">
        <x:v>Telefónica</x:v>
      </x:c>
      <x:c r="B7" s="105" t="str">
        <x:v>Movistar</x:v>
      </x:c>
      <x:c r="C7" s="105" t="str">
        <x:v>Pegaso PCS, S.A. de C.V.</x:v>
      </x:c>
      <x:c r="D7" s="110" t="n">
        <x:v>20500000</x:v>
      </x:c>
    </x:row>
    <x:row r="8" ht="15" hidden="0" customHeight="1">
      <x:c r="A8" s="104" t="str">
        <x:v>Grupo Walmart</x:v>
      </x:c>
      <x:c r="B8" s="105" t="str">
        <x:v>Bodega Aurrera Internet y Telefonía BAIT</x:v>
      </x:c>
      <x:c r="C8" s="105" t="str">
        <x:v>WAL-MART Innovación, S. de R.L. de C.V.</x:v>
      </x:c>
      <x:c r="D8" s="110" t="n">
        <x:v>22400000</x:v>
      </x:c>
    </x:row>
    <x:row r="9" ht="15" hidden="0" customHeight="1">
      <x:c r="A9" s="120" t="str">
        <x:v>Otros</x:v>
      </x:c>
      <x:c r="B9" s="121" t="str"/>
      <x:c r="C9" s="121" t="str"/>
      <x:c r="D9" s="122" t="n">
        <x:v>7700000</x:v>
      </x:c>
    </x:row>
    <x:row r="10" ht="15" hidden="0" customHeight="1">
      <x:c r="A10" s="117" t="str">
        <x:v>TOTAL</x:v>
      </x:c>
      <x:c r="B10" s="118" t="str"/>
      <x:c r="C10" s="118" t="str"/>
      <x:c r="D10" s="119" t="n">
        <x:v>160000000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66" hidden="0" customWidth="1"/>
    <x:col min="5" max="5" width="22" hidden="0" customWidth="1"/>
  </x:cols>
  <x:sheetData>
    <x:row r="1" ht="30" hidden="0" customHeight="1">
      <x:c r="A1" s="4" t="str">
        <x:v>Tabla 3 — prueba sintética 2026Q1</x:v>
      </x:c>
      <x:c r="B1" s="4"/>
      <x:c r="C1" s="4"/>
      <x:c r="D1" s="4"/>
      <x:c r="E1" s="4"/>
    </x:row>
    <x:row r="2" ht="15" hidden="0" customHeight="1">
      <x:c r="A2" s="87" t="str">
        <x:v>Estructura fija. Datos ficticios 2026Q1 para prueba de regresión; no publicar.</x:v>
      </x:c>
      <x:c r="B2" s="87"/>
      <x:c r="C2" s="87"/>
      <x:c r="D2" s="87"/>
      <x:c r="E2" s="87"/>
    </x:row>
    <x:row r="3"/>
    <x:row r="4" ht="36" hidden="0" customHeight="1">
      <x:c r="A4" s="14" t="str">
        <x:v>Grupo Económico</x:v>
      </x:c>
      <x:c r="B4" s="14" t="str">
        <x:v>Ingresos por GIE (millones de pesos)</x:v>
      </x:c>
      <x:c r="C4" s="14" t="str">
        <x:v>Empresa</x:v>
      </x:c>
      <x:c r="D4" s="14" t="str">
        <x:v>Concesionario</x:v>
      </x:c>
      <x:c r="E4" s="14" t="str">
        <x:v>Ingresos (millones de pesos)</x:v>
      </x:c>
    </x:row>
    <x:row r="5" ht="15" hidden="0" customHeight="1">
      <x:c r="A5" s="101" t="str">
        <x:v>América Móvil</x:v>
      </x:c>
      <x:c r="B5" s="125" t="n">
        <x:v>112800</x:v>
      </x:c>
      <x:c r="C5" s="102" t="str">
        <x:v>Telcel</x:v>
      </x:c>
      <x:c r="D5" s="102" t="str">
        <x:v>Radiomóvil Dipsa, S.A. de C.V.</x:v>
      </x:c>
      <x:c r="E5" s="129" t="n">
        <x:v>68500</x:v>
      </x:c>
    </x:row>
    <x:row r="6" ht="15" hidden="0" customHeight="1">
      <x:c r="A6" s="104" t="str">
        <x:v>América Móvil</x:v>
      </x:c>
      <x:c r="B6" s="126" t="n">
        <x:v>112800</x:v>
      </x:c>
      <x:c r="C6" s="105" t="str">
        <x:v>Telmex-Telnor</x:v>
      </x:c>
      <x:c r="D6" s="105" t="str">
        <x:v>Teléfonos de México, S.A.B. de C.V y Teléfonos del Noroeste, S.A. de C.V.</x:v>
      </x:c>
      <x:c r="E6" s="130" t="n">
        <x:v>30100</x:v>
      </x:c>
    </x:row>
    <x:row r="7" ht="15" hidden="0" customHeight="1">
      <x:c r="A7" s="104" t="str">
        <x:v>América Móvil</x:v>
      </x:c>
      <x:c r="B7" s="126" t="n">
        <x:v>112800</x:v>
      </x:c>
      <x:c r="C7" s="105" t="str">
        <x:v>Red Nacional de Última Milla</x:v>
      </x:c>
      <x:c r="D7" s="105" t="str">
        <x:v>Red Nacional de Última Milla S.A.P.I. de C.V.</x:v>
      </x:c>
      <x:c r="E7" s="130" t="n">
        <x:v>14200</x:v>
      </x:c>
    </x:row>
    <x:row r="8" ht="21.600000381469727" hidden="0" customHeight="1">
      <x:c r="A8" s="104" t="str">
        <x:v>AT&amp;T</x:v>
      </x:c>
      <x:c r="B8" s="126" t="n">
        <x:v>25600</x:v>
      </x:c>
      <x:c r="C8" s="105" t="str">
        <x:v>AT&amp;T</x:v>
      </x:c>
      <x:c r="D8" s="105" t="str">
        <x:v>AT&amp;T Conecta de México, S. de R.L. de C.V.; AT&amp;T Comercialización Movil, S. de R.L. de C.V.; AT&amp;T Comunicaciones Digitales, S. de R.L. de C.V.</x:v>
      </x:c>
      <x:c r="E8" s="130" t="n">
        <x:v>25600</x:v>
      </x:c>
    </x:row>
    <x:row r="9" ht="15" hidden="0" customHeight="1">
      <x:c r="A9" s="104" t="str">
        <x:v>Grupo Televisa</x:v>
      </x:c>
      <x:c r="B9" s="126" t="n">
        <x:v>13500</x:v>
      </x:c>
      <x:c r="C9" s="105" t="str">
        <x:v>Izzi</x:v>
      </x:c>
      <x:c r="D9" s="105" t="str">
        <x:v>Televisión Internacional, S.A. de C.V.</x:v>
      </x:c>
      <x:c r="E9" s="130" t="n">
        <x:v>3700</x:v>
      </x:c>
    </x:row>
    <x:row r="10" ht="15" hidden="0" customHeight="1">
      <x:c r="A10" s="104" t="str">
        <x:v>Grupo Televisa</x:v>
      </x:c>
      <x:c r="B10" s="126" t="n">
        <x:v>13500</x:v>
      </x:c>
      <x:c r="C10" s="105" t="str">
        <x:v>Izzi</x:v>
      </x:c>
      <x:c r="D10" s="105" t="str">
        <x:v>Cablemas Telecomunicaciones, S.A. de C.V.</x:v>
      </x:c>
      <x:c r="E10" s="130" t="n">
        <x:v>2900</x:v>
      </x:c>
    </x:row>
    <x:row r="11" ht="15" hidden="0" customHeight="1">
      <x:c r="A11" s="104" t="str">
        <x:v>Grupo Televisa</x:v>
      </x:c>
      <x:c r="B11" s="126" t="n">
        <x:v>13500</x:v>
      </x:c>
      <x:c r="C11" s="105" t="str">
        <x:v>Izzi</x:v>
      </x:c>
      <x:c r="D11" s="105" t="str">
        <x:v>Cablevisión, S.A. de C.V.</x:v>
      </x:c>
      <x:c r="E11" s="130" t="n">
        <x:v>2100</x:v>
      </x:c>
    </x:row>
    <x:row r="12" ht="15" hidden="0" customHeight="1">
      <x:c r="A12" s="104" t="str">
        <x:v>Grupo Televisa</x:v>
      </x:c>
      <x:c r="B12" s="126" t="n">
        <x:v>13500</x:v>
      </x:c>
      <x:c r="C12" s="105" t="str">
        <x:v>Sky</x:v>
      </x:c>
      <x:c r="D12" s="105" t="str">
        <x:v>Corporación de Radio y Televisión del Norte de México, S. de R.L. de C.V.</x:v>
      </x:c>
      <x:c r="E12" s="130" t="n">
        <x:v>3600</x:v>
      </x:c>
    </x:row>
    <x:row r="13" ht="15" hidden="0" customHeight="1">
      <x:c r="A13" s="104" t="str">
        <x:v>Grupo Televisa</x:v>
      </x:c>
      <x:c r="B13" s="126" t="n">
        <x:v>13500</x:v>
      </x:c>
      <x:c r="C13" s="105" t="str">
        <x:v>Sky</x:v>
      </x:c>
      <x:c r="D13" s="105" t="str">
        <x:v>Operbes, S.A. de C.V.</x:v>
      </x:c>
      <x:c r="E13" s="130" t="n">
        <x:v>1200</x:v>
      </x:c>
    </x:row>
    <x:row r="14" ht="15" hidden="0" customHeight="1">
      <x:c r="A14" s="104" t="str">
        <x:v>Megacable-MCM</x:v>
      </x:c>
      <x:c r="B14" s="126" t="n">
        <x:v>10300</x:v>
      </x:c>
      <x:c r="C14" s="105" t="str">
        <x:v>Megacable</x:v>
      </x:c>
      <x:c r="D14" s="105" t="str">
        <x:v>Mega Cable, S.A. de C.V.</x:v>
      </x:c>
      <x:c r="E14" s="130" t="n">
        <x:v>9400</x:v>
      </x:c>
    </x:row>
    <x:row r="15" ht="15" hidden="0" customHeight="1">
      <x:c r="A15" s="104" t="str">
        <x:v>Megacable-MCM</x:v>
      </x:c>
      <x:c r="B15" s="126" t="n">
        <x:v>10300</x:v>
      </x:c>
      <x:c r="C15" s="105" t="str">
        <x:v>Megacable</x:v>
      </x:c>
      <x:c r="D15" s="105" t="str">
        <x:v>Megacable Telecomunicaciones de México, S.A. de C.V.</x:v>
      </x:c>
      <x:c r="E15" s="130" t="n">
        <x:v>500</x:v>
      </x:c>
    </x:row>
    <x:row r="16" ht="15" hidden="0" customHeight="1">
      <x:c r="A16" s="104" t="str">
        <x:v>Megacable-MCM</x:v>
      </x:c>
      <x:c r="B16" s="126" t="n">
        <x:v>10300</x:v>
      </x:c>
      <x:c r="C16" s="105" t="str">
        <x:v>MCM Telecom</x:v>
      </x:c>
      <x:c r="D16" s="105" t="str">
        <x:v>Servicio y Equipo En Telefonía Internet y TV, S.A. de C.V.</x:v>
      </x:c>
      <x:c r="E16" s="130" t="n">
        <x:v>400</x:v>
      </x:c>
    </x:row>
    <x:row r="17" ht="15" hidden="0" customHeight="1">
      <x:c r="A17" s="104" t="str">
        <x:v>Grupo Salinas</x:v>
      </x:c>
      <x:c r="B17" s="126" t="n">
        <x:v>11100</x:v>
      </x:c>
      <x:c r="C17" s="105" t="str">
        <x:v>Totalplay</x:v>
      </x:c>
      <x:c r="D17" s="105" t="str">
        <x:v>Total Play Comunicaciones, S.A.P.I. de C.V.</x:v>
      </x:c>
      <x:c r="E17" s="130" t="n">
        <x:v>11100</x:v>
      </x:c>
    </x:row>
    <x:row r="18" ht="15" hidden="0" customHeight="1">
      <x:c r="A18" s="104" t="str">
        <x:v>Telefónica</x:v>
      </x:c>
      <x:c r="B18" s="126" t="n">
        <x:v>7200</x:v>
      </x:c>
      <x:c r="C18" s="105" t="str">
        <x:v>Movistar</x:v>
      </x:c>
      <x:c r="D18" s="105" t="str">
        <x:v>Pegaso PCS, S.A. de C.V.</x:v>
      </x:c>
      <x:c r="E18" s="130" t="n">
        <x:v>7050</x:v>
      </x:c>
    </x:row>
    <x:row r="19" ht="15" hidden="0" customHeight="1">
      <x:c r="A19" s="104" t="str">
        <x:v>Telefónica</x:v>
      </x:c>
      <x:c r="B19" s="126" t="n">
        <x:v>7200</x:v>
      </x:c>
      <x:c r="C19" s="105" t="str">
        <x:v>Telefónica Movistar</x:v>
      </x:c>
      <x:c r="D19" s="105" t="str">
        <x:v>Telefónica Global Solutions México, S.A. de C.V.</x:v>
      </x:c>
      <x:c r="E19" s="130" t="n">
        <x:v>150</x:v>
      </x:c>
    </x:row>
    <x:row r="20" ht="15" hidden="0" customHeight="1">
      <x:c r="A20" s="104" t="str">
        <x:v>Grupo Walmart</x:v>
      </x:c>
      <x:c r="B20" s="126" t="n">
        <x:v>5000</x:v>
      </x:c>
      <x:c r="C20" s="105" t="str">
        <x:v>Bodega Aurrera Internet y Telefonía BAIT</x:v>
      </x:c>
      <x:c r="D20" s="105" t="str">
        <x:v>WAL-MART Innovación, S. de R.L. de C.V.</x:v>
      </x:c>
      <x:c r="E20" s="130" t="n">
        <x:v>5000</x:v>
      </x:c>
    </x:row>
    <x:row r="21" ht="15" hidden="0" customHeight="1">
      <x:c r="A21" s="104" t="str">
        <x:v>Axtel</x:v>
      </x:c>
      <x:c r="B21" s="126" t="n">
        <x:v>3800</x:v>
      </x:c>
      <x:c r="C21" s="105" t="str">
        <x:v>Alestra/axnet/axtel Networks</x:v>
      </x:c>
      <x:c r="D21" s="105" t="str">
        <x:v>Axtel, S.A.B. de C.V.</x:v>
      </x:c>
      <x:c r="E21" s="130" t="n">
        <x:v>3800</x:v>
      </x:c>
    </x:row>
    <x:row r="22" ht="15" hidden="0" customHeight="1">
      <x:c r="A22" s="104" t="str">
        <x:v>Altán</x:v>
      </x:c>
      <x:c r="B22" s="126" t="n">
        <x:v>4100</x:v>
      </x:c>
      <x:c r="C22" s="105" t="str">
        <x:v>Altán</x:v>
      </x:c>
      <x:c r="D22" s="105" t="str">
        <x:v>Altán Redes, S.A.P.I. de C.V.</x:v>
      </x:c>
      <x:c r="E22" s="130" t="n">
        <x:v>4100</x:v>
      </x:c>
    </x:row>
    <x:row r="23" ht="15" hidden="0" customHeight="1">
      <x:c r="A23" s="120" t="str">
        <x:v>Otros</x:v>
      </x:c>
      <x:c r="B23" s="137"/>
      <x:c r="C23" s="121" t="str"/>
      <x:c r="D23" s="121" t="str"/>
      <x:c r="E23" s="138" t="n">
        <x:v>4600</x:v>
      </x:c>
    </x:row>
    <x:row r="24" ht="15" hidden="0" customHeight="1">
      <x:c r="A24" s="117" t="str">
        <x:v>TOTAL</x:v>
      </x:c>
      <x:c r="B24" s="135"/>
      <x:c r="C24" s="118" t="str"/>
      <x:c r="D24" s="118" t="str"/>
      <x:c r="E24" s="136" t="n">
        <x:v>198000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66" hidden="0" customWidth="1"/>
    <x:col min="5" max="5" width="22" hidden="0" customWidth="1"/>
  </x:cols>
  <x:sheetData>
    <x:row r="1" ht="30" hidden="0" customHeight="1">
      <x:c r="A1" s="4" t="str">
        <x:v>Tabla 4 — prueba sintética 2026Q1</x:v>
      </x:c>
      <x:c r="B1" s="4"/>
      <x:c r="C1" s="4"/>
      <x:c r="D1" s="4"/>
      <x:c r="E1" s="4"/>
    </x:row>
    <x:row r="2" ht="15" hidden="0" customHeight="1">
      <x:c r="A2" s="87" t="str">
        <x:v>Estructura fija. Datos ficticios 2026Q1 para prueba de regresión; no publicar.</x:v>
      </x:c>
      <x:c r="B2" s="87"/>
      <x:c r="C2" s="87"/>
      <x:c r="D2" s="87"/>
      <x:c r="E2" s="87"/>
    </x:row>
    <x:row r="3"/>
    <x:row r="4" ht="36" hidden="0" customHeight="1">
      <x:c r="A4" s="14" t="str">
        <x:v>Grupo Económico</x:v>
      </x:c>
      <x:c r="B4" s="14" t="str">
        <x:v>Líneas fijas por GIE</x:v>
      </x:c>
      <x:c r="C4" s="14" t="str">
        <x:v>Empresa</x:v>
      </x:c>
      <x:c r="D4" s="14" t="str">
        <x:v>Concesionario</x:v>
      </x:c>
      <x:c r="E4" s="14" t="str">
        <x:v>Líneas fijas</x:v>
      </x:c>
    </x:row>
    <x:row r="5" ht="15" hidden="0" customHeight="1">
      <x:c r="A5" s="101" t="str">
        <x:v>América Móvil</x:v>
      </x:c>
      <x:c r="B5" s="141" t="n">
        <x:v>10800000</x:v>
      </x:c>
      <x:c r="C5" s="102" t="str">
        <x:v>Telmex-Telnor</x:v>
      </x:c>
      <x:c r="D5" s="102" t="str">
        <x:v>Teléfonos de México, S.A.B. de C.V y Teléfonos del Noroeste, S.A. de C.V.</x:v>
      </x:c>
      <x:c r="E5" s="109" t="n">
        <x:v>10800000</x:v>
      </x:c>
    </x:row>
    <x:row r="6" ht="15" hidden="0" customHeight="1">
      <x:c r="A6" s="104" t="str">
        <x:v>Grupo Televisa</x:v>
      </x:c>
      <x:c r="B6" s="142" t="n">
        <x:v>8900000</x:v>
      </x:c>
      <x:c r="C6" s="105" t="str">
        <x:v>Izzi</x:v>
      </x:c>
      <x:c r="D6" s="105" t="str">
        <x:v>Televisión Internacional, S.A. de C.V.</x:v>
      </x:c>
      <x:c r="E6" s="110" t="n">
        <x:v>2500000</x:v>
      </x:c>
    </x:row>
    <x:row r="7" ht="15" hidden="0" customHeight="1">
      <x:c r="A7" s="104" t="str">
        <x:v>Grupo Televisa</x:v>
      </x:c>
      <x:c r="B7" s="142" t="n">
        <x:v>8900000</x:v>
      </x:c>
      <x:c r="C7" s="105" t="str">
        <x:v>Izzi</x:v>
      </x:c>
      <x:c r="D7" s="105" t="str">
        <x:v>Cablemas Telecomunicaciones, S.A. de C.V.</x:v>
      </x:c>
      <x:c r="E7" s="110" t="n">
        <x:v>2100000</x:v>
      </x:c>
    </x:row>
    <x:row r="8" ht="15" hidden="0" customHeight="1">
      <x:c r="A8" s="104" t="str">
        <x:v>Grupo Televisa</x:v>
      </x:c>
      <x:c r="B8" s="142" t="n">
        <x:v>8900000</x:v>
      </x:c>
      <x:c r="C8" s="105" t="str">
        <x:v>Izzi</x:v>
      </x:c>
      <x:c r="D8" s="105" t="str">
        <x:v>Cablevisión, S.A. de C.V.</x:v>
      </x:c>
      <x:c r="E8" s="110" t="n">
        <x:v>1500000</x:v>
      </x:c>
    </x:row>
    <x:row r="9" ht="15" hidden="0" customHeight="1">
      <x:c r="A9" s="104" t="str">
        <x:v>Grupo Televisa</x:v>
      </x:c>
      <x:c r="B9" s="142" t="n">
        <x:v>8900000</x:v>
      </x:c>
      <x:c r="C9" s="105" t="str">
        <x:v>Sky</x:v>
      </x:c>
      <x:c r="D9" s="105" t="str">
        <x:v>Operbes, S.A. de C.V.</x:v>
      </x:c>
      <x:c r="E9" s="110" t="n">
        <x:v>2200000</x:v>
      </x:c>
    </x:row>
    <x:row r="10" ht="15" hidden="0" customHeight="1">
      <x:c r="A10" s="104" t="str">
        <x:v>Grupo Televisa</x:v>
      </x:c>
      <x:c r="B10" s="142" t="n">
        <x:v>8900000</x:v>
      </x:c>
      <x:c r="C10" s="105" t="str">
        <x:v>Sky</x:v>
      </x:c>
      <x:c r="D10" s="105" t="str">
        <x:v>México Red de Telecomunicaciones, S. de R.L. de C.V.</x:v>
      </x:c>
      <x:c r="E10" s="110" t="n">
        <x:v>600000</x:v>
      </x:c>
    </x:row>
    <x:row r="11" ht="15" hidden="0" customHeight="1">
      <x:c r="A11" s="104" t="str">
        <x:v>Megacable-MCM</x:v>
      </x:c>
      <x:c r="B11" s="142" t="n">
        <x:v>7800000</x:v>
      </x:c>
      <x:c r="C11" s="105" t="str">
        <x:v>Megacable</x:v>
      </x:c>
      <x:c r="D11" s="105" t="str">
        <x:v>Mega Cable, S.A. de C.V.</x:v>
      </x:c>
      <x:c r="E11" s="110" t="n">
        <x:v>5500000</x:v>
      </x:c>
    </x:row>
    <x:row r="12" ht="15" hidden="0" customHeight="1">
      <x:c r="A12" s="104" t="str">
        <x:v>Megacable-MCM</x:v>
      </x:c>
      <x:c r="B12" s="142" t="n">
        <x:v>7800000</x:v>
      </x:c>
      <x:c r="C12" s="105" t="str">
        <x:v>Megacable</x:v>
      </x:c>
      <x:c r="D12" s="105" t="str">
        <x:v>Servicio y Equipo en Telefonía, Internet y TV, S.A. de C.V.</x:v>
      </x:c>
      <x:c r="E12" s="110" t="n">
        <x:v>300000</x:v>
      </x:c>
    </x:row>
    <x:row r="13" ht="15" hidden="0" customHeight="1">
      <x:c r="A13" s="104" t="str">
        <x:v>Megacable-MCM</x:v>
      </x:c>
      <x:c r="B13" s="142" t="n">
        <x:v>7800000</x:v>
      </x:c>
      <x:c r="C13" s="105" t="str">
        <x:v>MCM Telecom</x:v>
      </x:c>
      <x:c r="D13" s="105" t="str">
        <x:v>Megacable Telecomunicaciones de México, S.A. de C.V.</x:v>
      </x:c>
      <x:c r="E13" s="110" t="n">
        <x:v>2000000</x:v>
      </x:c>
    </x:row>
    <x:row r="14" ht="15" hidden="0" customHeight="1">
      <x:c r="A14" s="104" t="str">
        <x:v>Grupo Salinas</x:v>
      </x:c>
      <x:c r="B14" s="142" t="n">
        <x:v>8200000</x:v>
      </x:c>
      <x:c r="C14" s="105" t="str">
        <x:v>Totalplay</x:v>
      </x:c>
      <x:c r="D14" s="105" t="str">
        <x:v>Total Play Comunicaciones, S.A.P.I. de C.V.</x:v>
      </x:c>
      <x:c r="E14" s="110" t="n">
        <x:v>8200000</x:v>
      </x:c>
    </x:row>
    <x:row r="15" ht="15" hidden="0" customHeight="1">
      <x:c r="A15" s="120" t="str">
        <x:v>Otros</x:v>
      </x:c>
      <x:c r="B15" s="146"/>
      <x:c r="C15" s="121" t="str"/>
      <x:c r="D15" s="121" t="str"/>
      <x:c r="E15" s="122" t="n">
        <x:v>300000</x:v>
      </x:c>
    </x:row>
    <x:row r="16" ht="15" hidden="0" customHeight="1">
      <x:c r="A16" s="117" t="str">
        <x:v>TOTAL</x:v>
      </x:c>
      <x:c r="B16" s="145"/>
      <x:c r="C16" s="118" t="str"/>
      <x:c r="D16" s="118" t="str"/>
      <x:c r="E16" s="119" t="n">
        <x:v>36000000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66" hidden="0" customWidth="1"/>
    <x:col min="5" max="5" width="22" hidden="0" customWidth="1"/>
  </x:cols>
  <x:sheetData>
    <x:row r="1" ht="30" hidden="0" customHeight="1">
      <x:c r="A1" s="4" t="str">
        <x:v>Tabla 5 — prueba sintética 2026Q1</x:v>
      </x:c>
      <x:c r="B1" s="4"/>
      <x:c r="C1" s="4"/>
      <x:c r="D1" s="4"/>
      <x:c r="E1" s="4"/>
    </x:row>
    <x:row r="2" ht="15" hidden="0" customHeight="1">
      <x:c r="A2" s="87" t="str">
        <x:v>Estructura fija. Datos ficticios 2026Q1 para prueba de regresión; no publicar.</x:v>
      </x:c>
      <x:c r="B2" s="87"/>
      <x:c r="C2" s="87"/>
      <x:c r="D2" s="87"/>
      <x:c r="E2" s="87"/>
    </x:row>
    <x:row r="3"/>
    <x:row r="4" ht="36" hidden="0" customHeight="1">
      <x:c r="A4" s="14" t="str">
        <x:v>Grupo Económico</x:v>
      </x:c>
      <x:c r="B4" s="14" t="str">
        <x:v>Acceso por GIE</x:v>
      </x:c>
      <x:c r="C4" s="14" t="str">
        <x:v>Empresa</x:v>
      </x:c>
      <x:c r="D4" s="14" t="str">
        <x:v>Concesionario</x:v>
      </x:c>
      <x:c r="E4" s="14" t="str">
        <x:v>Accesos</x:v>
      </x:c>
    </x:row>
    <x:row r="5" ht="15" hidden="0" customHeight="1">
      <x:c r="A5" s="101" t="str">
        <x:v>América Móvil</x:v>
      </x:c>
      <x:c r="B5" s="102" t="n">
        <x:v>12400000</x:v>
      </x:c>
      <x:c r="C5" s="102" t="str">
        <x:v>Telmex-Telnor</x:v>
      </x:c>
      <x:c r="D5" s="102" t="str">
        <x:v>Teléfonos de México, S.A.B. de C.V. y Teléfonos del Noroeste, S.A. de C.V.</x:v>
      </x:c>
      <x:c r="E5" s="109" t="n">
        <x:v>12400000</x:v>
      </x:c>
    </x:row>
    <x:row r="6" ht="15" hidden="0" customHeight="1">
      <x:c r="A6" s="104" t="str">
        <x:v>Grupo Televisa</x:v>
      </x:c>
      <x:c r="B6" s="105" t="n">
        <x:v>6400000</x:v>
      </x:c>
      <x:c r="C6" s="105" t="str">
        <x:v>Izzi</x:v>
      </x:c>
      <x:c r="D6" s="105" t="str">
        <x:v>Televisión Internacional, S.A. de C.V.</x:v>
      </x:c>
      <x:c r="E6" s="110" t="n">
        <x:v>2500000</x:v>
      </x:c>
    </x:row>
    <x:row r="7" ht="15" hidden="0" customHeight="1">
      <x:c r="A7" s="104" t="str">
        <x:v>Grupo Televisa</x:v>
      </x:c>
      <x:c r="B7" s="105" t="n">
        <x:v>6400000</x:v>
      </x:c>
      <x:c r="C7" s="105" t="str">
        <x:v>Izzi</x:v>
      </x:c>
      <x:c r="D7" s="105" t="str">
        <x:v>Cablemas Telecomunicaciones, S.A. de C.V.</x:v>
      </x:c>
      <x:c r="E7" s="110" t="n">
        <x:v>2100000</x:v>
      </x:c>
    </x:row>
    <x:row r="8" ht="15" hidden="0" customHeight="1">
      <x:c r="A8" s="104" t="str">
        <x:v>Grupo Televisa</x:v>
      </x:c>
      <x:c r="B8" s="105" t="n">
        <x:v>6400000</x:v>
      </x:c>
      <x:c r="C8" s="105" t="str">
        <x:v>Izzi</x:v>
      </x:c>
      <x:c r="D8" s="105" t="str">
        <x:v>Cablevisión, S.A. de C.V.</x:v>
      </x:c>
      <x:c r="E8" s="110" t="n">
        <x:v>1500000</x:v>
      </x:c>
    </x:row>
    <x:row r="9" ht="15" hidden="0" customHeight="1">
      <x:c r="A9" s="104" t="str">
        <x:v>Grupo Televisa</x:v>
      </x:c>
      <x:c r="B9" s="105" t="n">
        <x:v>6400000</x:v>
      </x:c>
      <x:c r="C9" s="105" t="str">
        <x:v>Sky</x:v>
      </x:c>
      <x:c r="D9" s="105" t="str">
        <x:v>Corporación de Radio y Televisión del Norte de México, S. de R.L. de C.V.</x:v>
      </x:c>
      <x:c r="E9" s="110" t="n">
        <x:v>300000</x:v>
      </x:c>
    </x:row>
    <x:row r="10" ht="15" hidden="0" customHeight="1">
      <x:c r="A10" s="104" t="str">
        <x:v>Megacable-MCM</x:v>
      </x:c>
      <x:c r="B10" s="105" t="n">
        <x:v>6800000</x:v>
      </x:c>
      <x:c r="C10" s="105" t="str">
        <x:v>Megacable</x:v>
      </x:c>
      <x:c r="D10" s="105" t="str">
        <x:v>Mega Cable, S.A. de C.V.</x:v>
      </x:c>
      <x:c r="E10" s="110" t="n">
        <x:v>6500000</x:v>
      </x:c>
    </x:row>
    <x:row r="11" ht="15" hidden="0" customHeight="1">
      <x:c r="A11" s="104" t="str">
        <x:v>Megacable-MCM</x:v>
      </x:c>
      <x:c r="B11" s="105" t="n">
        <x:v>6800000</x:v>
      </x:c>
      <x:c r="C11" s="105" t="str">
        <x:v>Megacable</x:v>
      </x:c>
      <x:c r="D11" s="105" t="str">
        <x:v>Servicio y Equipo en Telefonía, Internet y TV, S.A. de C.V.</x:v>
      </x:c>
      <x:c r="E11" s="110" t="n">
        <x:v>298000</x:v>
      </x:c>
    </x:row>
    <x:row r="12" ht="15" hidden="0" customHeight="1">
      <x:c r="A12" s="104" t="str">
        <x:v>Megacable-MCM</x:v>
      </x:c>
      <x:c r="B12" s="105" t="n">
        <x:v>6800000</x:v>
      </x:c>
      <x:c r="C12" s="105" t="str">
        <x:v>MCM Telecom</x:v>
      </x:c>
      <x:c r="D12" s="105" t="str">
        <x:v>Megacable Comunicaciones de México, S.A. de C.V.</x:v>
      </x:c>
      <x:c r="E12" s="110" t="n">
        <x:v>2000</x:v>
      </x:c>
    </x:row>
    <x:row r="13" ht="15" hidden="0" customHeight="1">
      <x:c r="A13" s="104" t="str">
        <x:v>Grupo Salinas</x:v>
      </x:c>
      <x:c r="B13" s="105" t="n">
        <x:v>7100000</x:v>
      </x:c>
      <x:c r="C13" s="105" t="str">
        <x:v>Totalplay</x:v>
      </x:c>
      <x:c r="D13" s="105" t="str">
        <x:v>Totalplay Telecomunicaciones, S.A.P.I. de C.V.</x:v>
      </x:c>
      <x:c r="E13" s="110" t="n">
        <x:v>7100000</x:v>
      </x:c>
    </x:row>
    <x:row r="14" ht="15" hidden="0" customHeight="1">
      <x:c r="A14" s="120" t="str">
        <x:v>Otros</x:v>
      </x:c>
      <x:c r="B14" s="121"/>
      <x:c r="C14" s="121" t="str"/>
      <x:c r="D14" s="121" t="str"/>
      <x:c r="E14" s="122" t="n">
        <x:v>300000</x:v>
      </x:c>
    </x:row>
    <x:row r="15" ht="15" hidden="0" customHeight="1">
      <x:c r="A15" s="117" t="str">
        <x:v>TOTAL</x:v>
      </x:c>
      <x:c r="B15" s="118"/>
      <x:c r="C15" s="118" t="str"/>
      <x:c r="D15" s="118" t="str"/>
      <x:c r="E15" s="119" t="n">
        <x:v>33000000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66" hidden="0" customWidth="1"/>
    <x:col min="5" max="5" width="22" hidden="0" customWidth="1"/>
  </x:cols>
  <x:sheetData>
    <x:row r="1" ht="30" hidden="0" customHeight="1">
      <x:c r="A1" s="4" t="str">
        <x:v>Tabla 6 — prueba sintética 2026Q1</x:v>
      </x:c>
      <x:c r="B1" s="4"/>
      <x:c r="C1" s="4"/>
      <x:c r="D1" s="4"/>
      <x:c r="E1" s="4"/>
    </x:row>
    <x:row r="2" ht="15" hidden="0" customHeight="1">
      <x:c r="A2" s="87" t="str">
        <x:v>Estructura fija. Datos ficticios 2026Q1 para prueba de regresión; no publicar.</x:v>
      </x:c>
      <x:c r="B2" s="87"/>
      <x:c r="C2" s="87"/>
      <x:c r="D2" s="87"/>
      <x:c r="E2" s="87"/>
    </x:row>
    <x:row r="3"/>
    <x:row r="4" ht="36" hidden="0" customHeight="1">
      <x:c r="A4" s="14" t="str">
        <x:v>Grupo Económico</x:v>
      </x:c>
      <x:c r="B4" s="14" t="str">
        <x:v>Accesos por GIE</x:v>
      </x:c>
      <x:c r="C4" s="14" t="str">
        <x:v>Empresa</x:v>
      </x:c>
      <x:c r="D4" s="14" t="str">
        <x:v>Concesionario</x:v>
      </x:c>
      <x:c r="E4" s="14" t="str">
        <x:v>Accesos</x:v>
      </x:c>
    </x:row>
    <x:row r="5" ht="15" hidden="0" customHeight="1">
      <x:c r="A5" s="101" t="str">
        <x:v>Grupo Televisa</x:v>
      </x:c>
      <x:c r="B5" s="141" t="n">
        <x:v>9600000</x:v>
      </x:c>
      <x:c r="C5" s="102" t="str">
        <x:v>Izziqui</x:v>
      </x:c>
      <x:c r="D5" s="102" t="str">
        <x:v>Televisión Internacional, S.A. de C.V.</x:v>
      </x:c>
      <x:c r="E5" s="109" t="n">
        <x:v>2400000</x:v>
      </x:c>
    </x:row>
    <x:row r="6" ht="15" hidden="0" customHeight="1">
      <x:c r="A6" s="104" t="str">
        <x:v>Grupo Televisa</x:v>
      </x:c>
      <x:c r="B6" s="142" t="n">
        <x:v>9600000</x:v>
      </x:c>
      <x:c r="C6" s="105" t="str">
        <x:v>Izziqui</x:v>
      </x:c>
      <x:c r="D6" s="105" t="str">
        <x:v>Cablemas Telecomunicaciones, S.A. de C.V.</x:v>
      </x:c>
      <x:c r="E6" s="110" t="n">
        <x:v>1800000</x:v>
      </x:c>
    </x:row>
    <x:row r="7" ht="15" hidden="0" customHeight="1">
      <x:c r="A7" s="104" t="str">
        <x:v>Grupo Televisa</x:v>
      </x:c>
      <x:c r="B7" s="142" t="n">
        <x:v>9600000</x:v>
      </x:c>
      <x:c r="C7" s="105" t="str">
        <x:v>Izziqui</x:v>
      </x:c>
      <x:c r="D7" s="105" t="str">
        <x:v>Cablevisión, S.A. de C.V.</x:v>
      </x:c>
      <x:c r="E7" s="110" t="n">
        <x:v>1500000</x:v>
      </x:c>
    </x:row>
    <x:row r="8" ht="21.600000381469727" hidden="0" customHeight="1">
      <x:c r="A8" s="104" t="str">
        <x:v>Grupo Televisa</x:v>
      </x:c>
      <x:c r="B8" s="142" t="n">
        <x:v>9600000</x:v>
      </x:c>
      <x:c r="C8" s="105" t="str">
        <x:v>Sky</x:v>
      </x:c>
      <x:c r="D8" s="105" t="str">
        <x:v>Corporación de Radio y Televisión del Norte de México, S. de R.L. de C.V. y Corporación Novavisión, S. de R.L. de C.V.</x:v>
      </x:c>
      <x:c r="E8" s="110" t="n">
        <x:v>3900000</x:v>
      </x:c>
    </x:row>
    <x:row r="9" ht="15" hidden="0" customHeight="1">
      <x:c r="A9" s="104" t="str">
        <x:v>Megacable-MCM</x:v>
      </x:c>
      <x:c r="B9" s="142" t="n">
        <x:v>5800000</x:v>
      </x:c>
      <x:c r="C9" s="105" t="str">
        <x:v>Megacable</x:v>
      </x:c>
      <x:c r="D9" s="105" t="str">
        <x:v>Mega Cable, S.A. de C.V.</x:v>
      </x:c>
      <x:c r="E9" s="110" t="n">
        <x:v>5800000</x:v>
      </x:c>
    </x:row>
    <x:row r="10" ht="15" hidden="0" customHeight="1">
      <x:c r="A10" s="104" t="str">
        <x:v>Grupo Salinas</x:v>
      </x:c>
      <x:c r="B10" s="142" t="n">
        <x:v>6200000</x:v>
      </x:c>
      <x:c r="C10" s="105" t="str">
        <x:v>Totalplay</x:v>
      </x:c>
      <x:c r="D10" s="105" t="str">
        <x:v>Totalplay Telecomunicaciones, S.A.P.I. de C.V.</x:v>
      </x:c>
      <x:c r="E10" s="110" t="n">
        <x:v>6200000</x:v>
      </x:c>
    </x:row>
    <x:row r="11" ht="15" hidden="0" customHeight="1">
      <x:c r="A11" s="104" t="str">
        <x:v>Dish</x:v>
      </x:c>
      <x:c r="B11" s="142" t="n">
        <x:v>1200000</x:v>
      </x:c>
      <x:c r="C11" s="105" t="str">
        <x:v>Dish</x:v>
      </x:c>
      <x:c r="D11" s="105" t="str">
        <x:v>Comercializadora de Frecuencias Satelitales, S. de R.L. de C.V.</x:v>
      </x:c>
      <x:c r="E11" s="110" t="n">
        <x:v>1200000</x:v>
      </x:c>
    </x:row>
    <x:row r="12" ht="15" hidden="0" customHeight="1">
      <x:c r="A12" s="120" t="str">
        <x:v>Otros</x:v>
      </x:c>
      <x:c r="B12" s="146"/>
      <x:c r="C12" s="121" t="str"/>
      <x:c r="D12" s="121" t="str"/>
      <x:c r="E12" s="122" t="n">
        <x:v>200000</x:v>
      </x:c>
    </x:row>
    <x:row r="13" ht="15" hidden="0" customHeight="1">
      <x:c r="A13" s="117" t="str">
        <x:v>TOTAL</x:v>
      </x:c>
      <x:c r="B13" s="145"/>
      <x:c r="C13" s="118" t="str"/>
      <x:c r="D13" s="118" t="str"/>
      <x:c r="E13" s="119" t="n">
        <x:v>23000000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0" hidden="0" customWidth="1"/>
    <x:col min="3" max="3" width="24" hidden="0" customWidth="1"/>
    <x:col min="4" max="4" width="42" hidden="0" customWidth="1"/>
    <x:col min="5" max="5" width="18" hidden="0" customWidth="1"/>
    <x:col min="6" max="6" width="22" hidden="0" customWidth="1"/>
    <x:col min="7" max="7" width="14" hidden="0" customWidth="1"/>
  </x:cols>
  <x:sheetData>
    <x:row r="1" ht="30" hidden="0" customHeight="1">
      <x:c r="A1" s="4" t="str">
        <x:v>Datos consolidados para generación de gráficas</x:v>
      </x:c>
      <x:c r="B1" s="4"/>
      <x:c r="C1" s="4"/>
      <x:c r="D1" s="4"/>
      <x:c r="E1" s="4"/>
      <x:c r="F1" s="4"/>
      <x:c r="G1" s="4"/>
    </x:row>
    <x:row r="2" ht="15" hidden="0" customHeight="1">
      <x:c r="A2" s="86" t="str">
        <x:v>Los valores se vinculan a las hojas de tablas. No deben capturarse nuevamente: así las imágenes y el Word parten de la misma información.</x:v>
      </x:c>
      <x:c r="B2" s="86"/>
      <x:c r="C2" s="86"/>
      <x:c r="D2" s="86"/>
      <x:c r="E2" s="86"/>
      <x:c r="F2" s="86"/>
      <x:c r="G2" s="86"/>
    </x:row>
    <x:row r="3"/>
    <x:row r="4" ht="15" hidden="0" customHeight="1">
      <x:c r="A4" s="14" t="str">
        <x:v>Gráfica</x:v>
      </x:c>
      <x:c r="B4" s="14" t="str">
        <x:v>Sección</x:v>
      </x:c>
      <x:c r="C4" s="14" t="str">
        <x:v>Grupo</x:v>
      </x:c>
      <x:c r="D4" s="14" t="str">
        <x:v>Etiqueta</x:v>
      </x:c>
      <x:c r="E4" s="14" t="str">
        <x:v>Valor</x:v>
      </x:c>
      <x:c r="F4" s="14" t="str">
        <x:v>Unidad</x:v>
      </x:c>
      <x:c r="G4" s="14" t="str">
        <x:v>Color</x:v>
      </x:c>
    </x:row>
    <x:row r="5" ht="15" hidden="0" customHeight="1">
      <x:c r="A5" s="258" t="n">
        <x:v>1</x:v>
      </x:c>
      <x:c r="B5" s="236" t="str">
        <x:v>Líneas activas de telefonía móvil</x:v>
      </x:c>
      <x:c r="C5" s="236" t="str">
        <x:f>'Tabla_1'!A5</x:f>
        <x:v>América Móvil</x:v>
      </x:c>
      <x:c r="D5" s="236" t="str">
        <x:v>América Móvil (Telcel)</x:v>
      </x:c>
      <x:c r="E5" s="261" t="n">
        <x:f>'Tabla_1'!D5/1000000</x:f>
        <x:v>82.5</x:v>
      </x:c>
      <x:c r="F5" s="236" t="str">
        <x:v>millones</x:v>
      </x:c>
      <x:c r="G5" s="265" t="str">
        <x:v>#683E5D</x:v>
      </x:c>
    </x:row>
    <x:row r="6" ht="15" hidden="0" customHeight="1">
      <x:c r="A6" s="259" t="n">
        <x:v>1</x:v>
      </x:c>
      <x:c r="B6" s="239" t="str">
        <x:v>Líneas activas de telefonía móvil</x:v>
      </x:c>
      <x:c r="C6" s="239" t="str">
        <x:f>'Tabla_1'!A6</x:f>
        <x:v>AT&amp;T</x:v>
      </x:c>
      <x:c r="D6" s="239" t="str">
        <x:v>AT&amp;T</x:v>
      </x:c>
      <x:c r="E6" s="262" t="n">
        <x:f>'Tabla_1'!D6/1000000</x:f>
        <x:v>27.8</x:v>
      </x:c>
      <x:c r="F6" s="239" t="str">
        <x:v>millones</x:v>
      </x:c>
      <x:c r="G6" s="267" t="str">
        <x:v>#667489</x:v>
      </x:c>
    </x:row>
    <x:row r="7" ht="15" hidden="0" customHeight="1">
      <x:c r="A7" s="259" t="n">
        <x:v>1</x:v>
      </x:c>
      <x:c r="B7" s="239" t="str">
        <x:v>Líneas activas de telefonía móvil</x:v>
      </x:c>
      <x:c r="C7" s="239" t="str">
        <x:f>'Tabla_1'!A7</x:f>
        <x:v>Telefónica</x:v>
      </x:c>
      <x:c r="D7" s="239" t="str">
        <x:v>Telefónica (Movistar)</x:v>
      </x:c>
      <x:c r="E7" s="262" t="n">
        <x:f>'Tabla_1'!D7/1000000</x:f>
        <x:v>18.4</x:v>
      </x:c>
      <x:c r="F7" s="239" t="str">
        <x:v>millones</x:v>
      </x:c>
      <x:c r="G7" s="269" t="str">
        <x:v>#368491</x:v>
      </x:c>
    </x:row>
    <x:row r="8" ht="15" hidden="0" customHeight="1">
      <x:c r="A8" s="259" t="n">
        <x:v>1</x:v>
      </x:c>
      <x:c r="B8" s="239" t="str">
        <x:v>Líneas activas de telefonía móvil</x:v>
      </x:c>
      <x:c r="C8" s="239" t="str">
        <x:f>'Tabla_1'!A8</x:f>
        <x:v>Grupo Walmart</x:v>
      </x:c>
      <x:c r="D8" s="239" t="str">
        <x:v>Grupo Walmart (Bait)</x:v>
      </x:c>
      <x:c r="E8" s="262" t="n">
        <x:f>'Tabla_1'!D8/1000000</x:f>
        <x:v>19.2</x:v>
      </x:c>
      <x:c r="F8" s="239" t="str">
        <x:v>millones</x:v>
      </x:c>
      <x:c r="G8" s="271" t="str">
        <x:v>#1B4044</x:v>
      </x:c>
    </x:row>
    <x:row r="9" ht="15" hidden="0" customHeight="1">
      <x:c r="A9" s="259" t="n">
        <x:v>1</x:v>
      </x:c>
      <x:c r="B9" s="239" t="str">
        <x:v>Líneas activas de telefonía móvil</x:v>
      </x:c>
      <x:c r="C9" s="239" t="str">
        <x:f>'Tabla_1'!A9</x:f>
        <x:v>Otros</x:v>
      </x:c>
      <x:c r="D9" s="239" t="str">
        <x:v>Otros</x:v>
      </x:c>
      <x:c r="E9" s="262" t="n">
        <x:f>'Tabla_1'!D9/1000000</x:f>
        <x:v>7.1</x:v>
      </x:c>
      <x:c r="F9" s="239" t="str">
        <x:v>millones</x:v>
      </x:c>
      <x:c r="G9" s="273" t="str">
        <x:v>#728781</x:v>
      </x:c>
    </x:row>
    <x:row r="10" ht="15" hidden="0" customHeight="1">
      <x:c r="A10" s="259" t="n">
        <x:v>2</x:v>
      </x:c>
      <x:c r="B10" s="239" t="str">
        <x:v>Accesos activos a internet móvil</x:v>
      </x:c>
      <x:c r="C10" s="239" t="str">
        <x:f>'Tabla_2'!A5</x:f>
        <x:v>América Móvil</x:v>
      </x:c>
      <x:c r="D10" s="239" t="str">
        <x:v>América Móvil (Telcel)</x:v>
      </x:c>
      <x:c r="E10" s="262" t="n">
        <x:f>'Tabla_2'!D5/1000000</x:f>
        <x:v>79.8</x:v>
      </x:c>
      <x:c r="F10" s="239" t="str">
        <x:v>millones</x:v>
      </x:c>
      <x:c r="G10" s="275" t="str">
        <x:v>#683E5D</x:v>
      </x:c>
    </x:row>
    <x:row r="11" ht="15" hidden="0" customHeight="1">
      <x:c r="A11" s="259" t="n">
        <x:v>2</x:v>
      </x:c>
      <x:c r="B11" s="239" t="str">
        <x:v>Accesos activos a internet móvil</x:v>
      </x:c>
      <x:c r="C11" s="239" t="str">
        <x:f>'Tabla_2'!A6</x:f>
        <x:v>AT&amp;T</x:v>
      </x:c>
      <x:c r="D11" s="239" t="str">
        <x:v>AT&amp;T</x:v>
      </x:c>
      <x:c r="E11" s="262" t="n">
        <x:f>'Tabla_2'!D6/1000000</x:f>
        <x:v>29.6</x:v>
      </x:c>
      <x:c r="F11" s="239" t="str">
        <x:v>millones</x:v>
      </x:c>
      <x:c r="G11" s="267" t="str">
        <x:v>#667489</x:v>
      </x:c>
    </x:row>
    <x:row r="12" ht="15" hidden="0" customHeight="1">
      <x:c r="A12" s="259" t="n">
        <x:v>2</x:v>
      </x:c>
      <x:c r="B12" s="239" t="str">
        <x:v>Accesos activos a internet móvil</x:v>
      </x:c>
      <x:c r="C12" s="239" t="str">
        <x:f>'Tabla_2'!A7</x:f>
        <x:v>Telefónica</x:v>
      </x:c>
      <x:c r="D12" s="239" t="str">
        <x:v>Telefónica (Movistar)</x:v>
      </x:c>
      <x:c r="E12" s="262" t="n">
        <x:f>'Tabla_2'!D7/1000000</x:f>
        <x:v>20.5</x:v>
      </x:c>
      <x:c r="F12" s="239" t="str">
        <x:v>millones</x:v>
      </x:c>
      <x:c r="G12" s="269" t="str">
        <x:v>#368491</x:v>
      </x:c>
    </x:row>
    <x:row r="13" ht="15" hidden="0" customHeight="1">
      <x:c r="A13" s="259" t="n">
        <x:v>2</x:v>
      </x:c>
      <x:c r="B13" s="239" t="str">
        <x:v>Accesos activos a internet móvil</x:v>
      </x:c>
      <x:c r="C13" s="239" t="str">
        <x:f>'Tabla_2'!A8</x:f>
        <x:v>Grupo Walmart</x:v>
      </x:c>
      <x:c r="D13" s="239" t="str">
        <x:v>Grupo Walmart (Bait)</x:v>
      </x:c>
      <x:c r="E13" s="262" t="n">
        <x:f>'Tabla_2'!D8/1000000</x:f>
        <x:v>22.4</x:v>
      </x:c>
      <x:c r="F13" s="239" t="str">
        <x:v>millones</x:v>
      </x:c>
      <x:c r="G13" s="271" t="str">
        <x:v>#1B4044</x:v>
      </x:c>
    </x:row>
    <x:row r="14" ht="15" hidden="0" customHeight="1">
      <x:c r="A14" s="259" t="n">
        <x:v>2</x:v>
      </x:c>
      <x:c r="B14" s="239" t="str">
        <x:v>Accesos activos a internet móvil</x:v>
      </x:c>
      <x:c r="C14" s="239" t="str">
        <x:f>'Tabla_2'!A9</x:f>
        <x:v>Otros</x:v>
      </x:c>
      <x:c r="D14" s="239" t="str">
        <x:v>Otros</x:v>
      </x:c>
      <x:c r="E14" s="262" t="n">
        <x:f>'Tabla_2'!D9/1000000</x:f>
        <x:v>7.7</x:v>
      </x:c>
      <x:c r="F14" s="239" t="str">
        <x:v>millones</x:v>
      </x:c>
      <x:c r="G14" s="273" t="str">
        <x:v>#728781</x:v>
      </x:c>
    </x:row>
    <x:row r="15" ht="15" hidden="0" customHeight="1">
      <x:c r="A15" s="259" t="n">
        <x:v>3</x:v>
      </x:c>
      <x:c r="B15" s="239" t="str">
        <x:v>Ingresos</x:v>
      </x:c>
      <x:c r="C15" s="239" t="str">
        <x:f>'Tabla_3'!A5</x:f>
        <x:v>América Móvil</x:v>
      </x:c>
      <x:c r="D15" s="239" t="str">
        <x:v>América Móvil</x:v>
      </x:c>
      <x:c r="E15" s="262" t="n">
        <x:f>'Tabla_3'!B5/1</x:f>
        <x:v>112800</x:v>
      </x:c>
      <x:c r="F15" s="239" t="str">
        <x:v>millones de pesos</x:v>
      </x:c>
      <x:c r="G15" s="277" t="str">
        <x:v>#1E6284</x:v>
      </x:c>
    </x:row>
    <x:row r="16" ht="15" hidden="0" customHeight="1">
      <x:c r="A16" s="259" t="n">
        <x:v>3</x:v>
      </x:c>
      <x:c r="B16" s="239" t="str">
        <x:v>Ingresos</x:v>
      </x:c>
      <x:c r="C16" s="239" t="str">
        <x:f>'Tabla_3'!A8</x:f>
        <x:v>AT&amp;T</x:v>
      </x:c>
      <x:c r="D16" s="239" t="str">
        <x:v>AT&amp;T</x:v>
      </x:c>
      <x:c r="E16" s="262" t="n">
        <x:f>'Tabla_3'!B8/1</x:f>
        <x:v>25600</x:v>
      </x:c>
      <x:c r="F16" s="239" t="str">
        <x:v>millones de pesos</x:v>
      </x:c>
      <x:c r="G16" s="267" t="str">
        <x:v>#667489</x:v>
      </x:c>
    </x:row>
    <x:row r="17" ht="15" hidden="0" customHeight="1">
      <x:c r="A17" s="259" t="n">
        <x:v>3</x:v>
      </x:c>
      <x:c r="B17" s="239" t="str">
        <x:v>Ingresos</x:v>
      </x:c>
      <x:c r="C17" s="239" t="str">
        <x:f>'Tabla_3'!A9</x:f>
        <x:v>Grupo Televisa</x:v>
      </x:c>
      <x:c r="D17" s="239" t="str">
        <x:v>Grupo Televisa</x:v>
      </x:c>
      <x:c r="E17" s="262" t="n">
        <x:f>'Tabla_3'!B9/1</x:f>
        <x:v>13500</x:v>
      </x:c>
      <x:c r="F17" s="239" t="str">
        <x:v>millones de pesos</x:v>
      </x:c>
      <x:c r="G17" s="279" t="str">
        <x:v>#ED8945</x:v>
      </x:c>
    </x:row>
    <x:row r="18" ht="15" hidden="0" customHeight="1">
      <x:c r="A18" s="259" t="n">
        <x:v>3</x:v>
      </x:c>
      <x:c r="B18" s="239" t="str">
        <x:v>Ingresos</x:v>
      </x:c>
      <x:c r="C18" s="239" t="str">
        <x:f>'Tabla_3'!A17</x:f>
        <x:v>Grupo Salinas</x:v>
      </x:c>
      <x:c r="D18" s="239" t="str">
        <x:v>Grupo Salinas</x:v>
      </x:c>
      <x:c r="E18" s="262" t="n">
        <x:f>'Tabla_3'!B17/1</x:f>
        <x:v>11100</x:v>
      </x:c>
      <x:c r="F18" s="239" t="str">
        <x:v>millones de pesos</x:v>
      </x:c>
      <x:c r="G18" s="281" t="str">
        <x:v>#99B554</x:v>
      </x:c>
    </x:row>
    <x:row r="19" ht="15" hidden="0" customHeight="1">
      <x:c r="A19" s="259" t="n">
        <x:v>3</x:v>
      </x:c>
      <x:c r="B19" s="239" t="str">
        <x:v>Ingresos</x:v>
      </x:c>
      <x:c r="C19" s="239" t="str">
        <x:f>'Tabla_3'!A14</x:f>
        <x:v>Megacable-MCM</x:v>
      </x:c>
      <x:c r="D19" s="239" t="str">
        <x:v>Megacable-MCM</x:v>
      </x:c>
      <x:c r="E19" s="262" t="n">
        <x:f>'Tabla_3'!B14/1</x:f>
        <x:v>10300</x:v>
      </x:c>
      <x:c r="F19" s="239" t="str">
        <x:v>millones de pesos</x:v>
      </x:c>
      <x:c r="G19" s="283" t="str">
        <x:v>#5844A0</x:v>
      </x:c>
    </x:row>
    <x:row r="20" ht="15" hidden="0" customHeight="1">
      <x:c r="A20" s="259" t="n">
        <x:v>3</x:v>
      </x:c>
      <x:c r="B20" s="239" t="str">
        <x:v>Ingresos</x:v>
      </x:c>
      <x:c r="C20" s="239" t="str">
        <x:f>'Tabla_3'!A18</x:f>
        <x:v>Telefónica</x:v>
      </x:c>
      <x:c r="D20" s="239" t="str">
        <x:v>Telefónica</x:v>
      </x:c>
      <x:c r="E20" s="262" t="n">
        <x:f>'Tabla_3'!B18/1</x:f>
        <x:v>7200</x:v>
      </x:c>
      <x:c r="F20" s="239" t="str">
        <x:v>millones de pesos</x:v>
      </x:c>
      <x:c r="G20" s="269" t="str">
        <x:v>#368491</x:v>
      </x:c>
    </x:row>
    <x:row r="21" ht="15" hidden="0" customHeight="1">
      <x:c r="A21" s="259" t="n">
        <x:v>3</x:v>
      </x:c>
      <x:c r="B21" s="239" t="str">
        <x:v>Ingresos</x:v>
      </x:c>
      <x:c r="C21" s="239" t="str">
        <x:f>'Tabla_3'!A20</x:f>
        <x:v>Grupo Walmart</x:v>
      </x:c>
      <x:c r="D21" s="239" t="str">
        <x:v>Grupo Walmart</x:v>
      </x:c>
      <x:c r="E21" s="262" t="n">
        <x:f>'Tabla_3'!B20/1</x:f>
        <x:v>5000</x:v>
      </x:c>
      <x:c r="F21" s="239" t="str">
        <x:v>millones de pesos</x:v>
      </x:c>
      <x:c r="G21" s="271" t="str">
        <x:v>#1B4044</x:v>
      </x:c>
    </x:row>
    <x:row r="22" ht="15" hidden="0" customHeight="1">
      <x:c r="A22" s="259" t="n">
        <x:v>3</x:v>
      </x:c>
      <x:c r="B22" s="239" t="str">
        <x:v>Ingresos</x:v>
      </x:c>
      <x:c r="C22" s="239" t="str">
        <x:f>'Tabla_3'!A22</x:f>
        <x:v>Altán</x:v>
      </x:c>
      <x:c r="D22" s="239" t="str">
        <x:v>Altán</x:v>
      </x:c>
      <x:c r="E22" s="262" t="n">
        <x:f>'Tabla_3'!B22/1</x:f>
        <x:v>4100</x:v>
      </x:c>
      <x:c r="F22" s="239" t="str">
        <x:v>millones de pesos</x:v>
      </x:c>
      <x:c r="G22" s="285" t="str">
        <x:v>#8E244D</x:v>
      </x:c>
    </x:row>
    <x:row r="23" ht="15" hidden="0" customHeight="1">
      <x:c r="A23" s="259" t="n">
        <x:v>3</x:v>
      </x:c>
      <x:c r="B23" s="239" t="str">
        <x:v>Ingresos</x:v>
      </x:c>
      <x:c r="C23" s="239" t="str">
        <x:f>'Tabla_3'!A21</x:f>
        <x:v>Axtel</x:v>
      </x:c>
      <x:c r="D23" s="239" t="str">
        <x:v>Axtel</x:v>
      </x:c>
      <x:c r="E23" s="262" t="n">
        <x:f>'Tabla_3'!B21/1</x:f>
        <x:v>3800</x:v>
      </x:c>
      <x:c r="F23" s="239" t="str">
        <x:v>millones de pesos</x:v>
      </x:c>
      <x:c r="G23" s="287" t="str">
        <x:v>#994010</x:v>
      </x:c>
    </x:row>
    <x:row r="24" ht="15" hidden="0" customHeight="1">
      <x:c r="A24" s="259" t="n">
        <x:v>3</x:v>
      </x:c>
      <x:c r="B24" s="239" t="str">
        <x:v>Ingresos</x:v>
      </x:c>
      <x:c r="C24" s="239" t="str">
        <x:f>'Tabla_3'!A23</x:f>
        <x:v>Otros</x:v>
      </x:c>
      <x:c r="D24" s="239" t="str">
        <x:v>Otros</x:v>
      </x:c>
      <x:c r="E24" s="262" t="n">
        <x:f>'Tabla_3'!E23/1</x:f>
        <x:v>4600</x:v>
      </x:c>
      <x:c r="F24" s="239" t="str">
        <x:v>millones de pesos</x:v>
      </x:c>
      <x:c r="G24" s="273" t="str">
        <x:v>#728781</x:v>
      </x:c>
    </x:row>
    <x:row r="25" ht="15" hidden="0" customHeight="1">
      <x:c r="A25" s="259" t="n">
        <x:v>4</x:v>
      </x:c>
      <x:c r="B25" s="239" t="str">
        <x:v>Líneas del servicio fijo</x:v>
      </x:c>
      <x:c r="C25" s="239" t="str">
        <x:f>'Tabla_4'!A5</x:f>
        <x:v>América Móvil</x:v>
      </x:c>
      <x:c r="D25" s="239" t="str">
        <x:v>América Móvil (Telmex-Telnor)</x:v>
      </x:c>
      <x:c r="E25" s="262" t="n">
        <x:f>'Tabla_4'!B5/1000000</x:f>
        <x:v>10.8</x:v>
      </x:c>
      <x:c r="F25" s="239" t="str">
        <x:v>millones</x:v>
      </x:c>
      <x:c r="G25" s="277" t="str">
        <x:v>#1E6284</x:v>
      </x:c>
    </x:row>
    <x:row r="26" ht="15" hidden="0" customHeight="1">
      <x:c r="A26" s="259" t="n">
        <x:v>4</x:v>
      </x:c>
      <x:c r="B26" s="239" t="str">
        <x:v>Líneas del servicio fijo</x:v>
      </x:c>
      <x:c r="C26" s="239" t="str">
        <x:f>'Tabla_4'!A6</x:f>
        <x:v>Grupo Televisa</x:v>
      </x:c>
      <x:c r="D26" s="239" t="str">
        <x:v>Grupo Televisa (Izzi, Sky)</x:v>
      </x:c>
      <x:c r="E26" s="262" t="n">
        <x:f>'Tabla_4'!B6/1000000</x:f>
        <x:v>8.9</x:v>
      </x:c>
      <x:c r="F26" s="239" t="str">
        <x:v>millones</x:v>
      </x:c>
      <x:c r="G26" s="279" t="str">
        <x:v>#ED8945</x:v>
      </x:c>
    </x:row>
    <x:row r="27" ht="15" hidden="0" customHeight="1">
      <x:c r="A27" s="259" t="n">
        <x:v>4</x:v>
      </x:c>
      <x:c r="B27" s="239" t="str">
        <x:v>Líneas del servicio fijo</x:v>
      </x:c>
      <x:c r="C27" s="239" t="str">
        <x:f>'Tabla_4'!A11</x:f>
        <x:v>Megacable-MCM</x:v>
      </x:c>
      <x:c r="D27" s="239" t="str">
        <x:v>Megacable-MCM</x:v>
      </x:c>
      <x:c r="E27" s="262" t="n">
        <x:f>'Tabla_4'!B11/1000000</x:f>
        <x:v>7.8</x:v>
      </x:c>
      <x:c r="F27" s="239" t="str">
        <x:v>millones</x:v>
      </x:c>
      <x:c r="G27" s="283" t="str">
        <x:v>#5844A0</x:v>
      </x:c>
    </x:row>
    <x:row r="28" ht="15" hidden="0" customHeight="1">
      <x:c r="A28" s="259" t="n">
        <x:v>4</x:v>
      </x:c>
      <x:c r="B28" s="239" t="str">
        <x:v>Líneas del servicio fijo</x:v>
      </x:c>
      <x:c r="C28" s="239" t="str">
        <x:f>'Tabla_4'!A14</x:f>
        <x:v>Grupo Salinas</x:v>
      </x:c>
      <x:c r="D28" s="239" t="str">
        <x:v>Grupo Salinas (Totalplay)</x:v>
      </x:c>
      <x:c r="E28" s="262" t="n">
        <x:f>'Tabla_4'!B14/1000000</x:f>
        <x:v>8.2</x:v>
      </x:c>
      <x:c r="F28" s="239" t="str">
        <x:v>millones</x:v>
      </x:c>
      <x:c r="G28" s="281" t="str">
        <x:v>#99B554</x:v>
      </x:c>
    </x:row>
    <x:row r="29" ht="15" hidden="0" customHeight="1">
      <x:c r="A29" s="259" t="n">
        <x:v>4</x:v>
      </x:c>
      <x:c r="B29" s="239" t="str">
        <x:v>Líneas del servicio fijo</x:v>
      </x:c>
      <x:c r="C29" s="239" t="str">
        <x:f>'Tabla_4'!A15</x:f>
        <x:v>Otros</x:v>
      </x:c>
      <x:c r="D29" s="239" t="str">
        <x:v>Otros</x:v>
      </x:c>
      <x:c r="E29" s="262" t="n">
        <x:f>'Tabla_4'!E15/1000000</x:f>
        <x:v>0.3</x:v>
      </x:c>
      <x:c r="F29" s="239" t="str">
        <x:v>millones</x:v>
      </x:c>
      <x:c r="G29" s="273" t="str">
        <x:v>#728781</x:v>
      </x:c>
    </x:row>
    <x:row r="30" ht="15" hidden="0" customHeight="1">
      <x:c r="A30" s="259" t="n">
        <x:v>5</x:v>
      </x:c>
      <x:c r="B30" s="239" t="str">
        <x:v>Accesos a internet fijo</x:v>
      </x:c>
      <x:c r="C30" s="239" t="str">
        <x:f>'Tabla_5'!A5</x:f>
        <x:v>América Móvil</x:v>
      </x:c>
      <x:c r="D30" s="239" t="str">
        <x:v>América Móvil (Telmex-Telnor)</x:v>
      </x:c>
      <x:c r="E30" s="262" t="n">
        <x:f>'Tabla_5'!B5/1000000</x:f>
        <x:v>12.4</x:v>
      </x:c>
      <x:c r="F30" s="239" t="str">
        <x:v>millones</x:v>
      </x:c>
      <x:c r="G30" s="277" t="str">
        <x:v>#1E6284</x:v>
      </x:c>
    </x:row>
    <x:row r="31" ht="15" hidden="0" customHeight="1">
      <x:c r="A31" s="259" t="n">
        <x:v>5</x:v>
      </x:c>
      <x:c r="B31" s="239" t="str">
        <x:v>Accesos a internet fijo</x:v>
      </x:c>
      <x:c r="C31" s="239" t="str">
        <x:f>'Tabla_5'!A6</x:f>
        <x:v>Grupo Televisa</x:v>
      </x:c>
      <x:c r="D31" s="239" t="str">
        <x:v>Grupo Televisa (Izzi, Sky)</x:v>
      </x:c>
      <x:c r="E31" s="262" t="n">
        <x:f>'Tabla_5'!B6/1000000</x:f>
        <x:v>6.4</x:v>
      </x:c>
      <x:c r="F31" s="239" t="str">
        <x:v>millones</x:v>
      </x:c>
      <x:c r="G31" s="279" t="str">
        <x:v>#ED8945</x:v>
      </x:c>
    </x:row>
    <x:row r="32" ht="15" hidden="0" customHeight="1">
      <x:c r="A32" s="259" t="n">
        <x:v>5</x:v>
      </x:c>
      <x:c r="B32" s="239" t="str">
        <x:v>Accesos a internet fijo</x:v>
      </x:c>
      <x:c r="C32" s="239" t="str">
        <x:f>'Tabla_5'!A10</x:f>
        <x:v>Megacable-MCM</x:v>
      </x:c>
      <x:c r="D32" s="239" t="str">
        <x:v>Megacable-MCM</x:v>
      </x:c>
      <x:c r="E32" s="262" t="n">
        <x:f>'Tabla_5'!B10/1000000</x:f>
        <x:v>6.8</x:v>
      </x:c>
      <x:c r="F32" s="239" t="str">
        <x:v>millones</x:v>
      </x:c>
      <x:c r="G32" s="283" t="str">
        <x:v>#5844A0</x:v>
      </x:c>
    </x:row>
    <x:row r="33" ht="15" hidden="0" customHeight="1">
      <x:c r="A33" s="259" t="n">
        <x:v>5</x:v>
      </x:c>
      <x:c r="B33" s="239" t="str">
        <x:v>Accesos a internet fijo</x:v>
      </x:c>
      <x:c r="C33" s="239" t="str">
        <x:f>'Tabla_5'!A13</x:f>
        <x:v>Grupo Salinas</x:v>
      </x:c>
      <x:c r="D33" s="239" t="str">
        <x:v>Grupo Salinas (Totalplay)</x:v>
      </x:c>
      <x:c r="E33" s="262" t="n">
        <x:f>'Tabla_5'!B13/1000000</x:f>
        <x:v>7.1</x:v>
      </x:c>
      <x:c r="F33" s="239" t="str">
        <x:v>millones</x:v>
      </x:c>
      <x:c r="G33" s="281" t="str">
        <x:v>#99B554</x:v>
      </x:c>
    </x:row>
    <x:row r="34" ht="15" hidden="0" customHeight="1">
      <x:c r="A34" s="259" t="n">
        <x:v>5</x:v>
      </x:c>
      <x:c r="B34" s="239" t="str">
        <x:v>Accesos a internet fijo</x:v>
      </x:c>
      <x:c r="C34" s="239" t="str">
        <x:f>'Tabla_5'!A14</x:f>
        <x:v>Otros</x:v>
      </x:c>
      <x:c r="D34" s="239" t="str">
        <x:v>Otros</x:v>
      </x:c>
      <x:c r="E34" s="262" t="n">
        <x:f>'Tabla_5'!E14/1000000</x:f>
        <x:v>0.3</x:v>
      </x:c>
      <x:c r="F34" s="239" t="str">
        <x:v>millones</x:v>
      </x:c>
      <x:c r="G34" s="273" t="str">
        <x:v>#728781</x:v>
      </x:c>
    </x:row>
    <x:row r="35" ht="15" hidden="0" customHeight="1">
      <x:c r="A35" s="259" t="n">
        <x:v>6</x:v>
      </x:c>
      <x:c r="B35" s="239" t="str">
        <x:v>Accesos a televisión restringida</x:v>
      </x:c>
      <x:c r="C35" s="239" t="str">
        <x:f>'Tabla_6'!A5</x:f>
        <x:v>Grupo Televisa</x:v>
      </x:c>
      <x:c r="D35" s="239" t="str">
        <x:v>Grupo Televisa (Izzi, Sky)</x:v>
      </x:c>
      <x:c r="E35" s="262" t="n">
        <x:f>'Tabla_6'!B5/1000000</x:f>
        <x:v>9.6</x:v>
      </x:c>
      <x:c r="F35" s="239" t="str">
        <x:v>millones</x:v>
      </x:c>
      <x:c r="G35" s="279" t="str">
        <x:v>#ED8945</x:v>
      </x:c>
    </x:row>
    <x:row r="36" ht="15" hidden="0" customHeight="1">
      <x:c r="A36" s="259" t="n">
        <x:v>6</x:v>
      </x:c>
      <x:c r="B36" s="239" t="str">
        <x:v>Accesos a televisión restringida</x:v>
      </x:c>
      <x:c r="C36" s="239" t="str">
        <x:f>'Tabla_6'!A9</x:f>
        <x:v>Megacable-MCM</x:v>
      </x:c>
      <x:c r="D36" s="239" t="str">
        <x:v>Megacable-MCM</x:v>
      </x:c>
      <x:c r="E36" s="262" t="n">
        <x:f>'Tabla_6'!B9/1000000</x:f>
        <x:v>5.8</x:v>
      </x:c>
      <x:c r="F36" s="239" t="str">
        <x:v>millones</x:v>
      </x:c>
      <x:c r="G36" s="283" t="str">
        <x:v>#5844A0</x:v>
      </x:c>
    </x:row>
    <x:row r="37" ht="15" hidden="0" customHeight="1">
      <x:c r="A37" s="259" t="n">
        <x:v>6</x:v>
      </x:c>
      <x:c r="B37" s="239" t="str">
        <x:v>Accesos a televisión restringida</x:v>
      </x:c>
      <x:c r="C37" s="239" t="str">
        <x:f>'Tabla_6'!A10</x:f>
        <x:v>Grupo Salinas</x:v>
      </x:c>
      <x:c r="D37" s="239" t="str">
        <x:v>Grupo Salinas (Totalplay)</x:v>
      </x:c>
      <x:c r="E37" s="262" t="n">
        <x:f>'Tabla_6'!B10/1000000</x:f>
        <x:v>6.2</x:v>
      </x:c>
      <x:c r="F37" s="239" t="str">
        <x:v>millones</x:v>
      </x:c>
      <x:c r="G37" s="281" t="str">
        <x:v>#99B554</x:v>
      </x:c>
    </x:row>
    <x:row r="38" ht="15" hidden="0" customHeight="1">
      <x:c r="A38" s="259" t="n">
        <x:v>6</x:v>
      </x:c>
      <x:c r="B38" s="239" t="str">
        <x:v>Accesos a televisión restringida</x:v>
      </x:c>
      <x:c r="C38" s="239" t="str">
        <x:f>'Tabla_6'!A11</x:f>
        <x:v>Dish</x:v>
      </x:c>
      <x:c r="D38" s="239" t="str">
        <x:v>Dish</x:v>
      </x:c>
      <x:c r="E38" s="262" t="n">
        <x:f>'Tabla_6'!B11/1000000</x:f>
        <x:v>1.2</x:v>
      </x:c>
      <x:c r="F38" s="239" t="str">
        <x:v>millones</x:v>
      </x:c>
      <x:c r="G38" s="289" t="str">
        <x:v>#0F9ED5</x:v>
      </x:c>
    </x:row>
    <x:row r="39" ht="15" hidden="0" customHeight="1">
      <x:c r="A39" s="260" t="n">
        <x:v>6</x:v>
      </x:c>
      <x:c r="B39" s="253" t="str">
        <x:v>Accesos a televisión restringida</x:v>
      </x:c>
      <x:c r="C39" s="253" t="str">
        <x:f>'Tabla_6'!A12</x:f>
        <x:v>Otros</x:v>
      </x:c>
      <x:c r="D39" s="253" t="str">
        <x:v>Otros</x:v>
      </x:c>
      <x:c r="E39" s="263" t="n">
        <x:f>'Tabla_6'!E12/1000000</x:f>
        <x:v>0.2</x:v>
      </x:c>
      <x:c r="F39" s="253" t="str">
        <x:v>millones</x:v>
      </x:c>
      <x:c r="G39" s="291" t="str">
        <x:v>#728781</x:v>
      </x:c>
    </x:row>
  </x:sheetData>
  <x:mergeCells>
    <x:mergeCell ref="A1:G1"/>
    <x:mergeCell ref="A2:G2"/>
  </x:mergeCells>
  <x:pageMargins left="0.7" right="0.7" top="0.75" bottom="0.75" header="0.3" footer="0.3"/>
</x:worksheet>
</file>